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214"/>
  <workbookPr dateCompatibility="0" defaultThemeVersion="202300"/>
  <mc:AlternateContent xmlns:mc="http://schemas.openxmlformats.org/markup-compatibility/2006">
    <mc:Choice Requires="x15">
      <x15ac:absPath xmlns:x15ac="http://schemas.microsoft.com/office/spreadsheetml/2010/11/ac" url="/Users/georgeluther/Desktop/RaceCar/Interview_Projects/"/>
    </mc:Choice>
  </mc:AlternateContent>
  <xr:revisionPtr revIDLastSave="0" documentId="13_ncr:9_{8A40E157-DEB7-914F-8482-55B8122403AA}" xr6:coauthVersionLast="47" xr6:coauthVersionMax="47" xr10:uidLastSave="{00000000-0000-0000-0000-000000000000}"/>
  <bookViews>
    <workbookView xWindow="1100" yWindow="820" windowWidth="28040" windowHeight="17440" activeTab="3" xr2:uid="{A069D540-7A28-FD49-92E8-B6A3975D4FA3}"/>
  </bookViews>
  <sheets>
    <sheet name="fake_category_data" sheetId="1" r:id="rId1"/>
    <sheet name="resp_toy_problem_greedy_cat1" sheetId="2" r:id="rId2"/>
    <sheet name="resp_toy_problem_greedy_cat2" sheetId="4" r:id="rId3"/>
    <sheet name="min_resps_required-relax_time" sheetId="5" r:id="rId4"/>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F80" i="5" l="1"/>
  <c r="F79"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2" i="5"/>
  <c r="F4" i="4"/>
  <c r="G4" i="4"/>
  <c r="H4" i="4"/>
  <c r="F5" i="4"/>
  <c r="G5" i="4"/>
  <c r="H5" i="4"/>
  <c r="I5" i="4"/>
  <c r="F6" i="4"/>
  <c r="G6" i="4"/>
  <c r="H6" i="4"/>
  <c r="F7" i="4"/>
  <c r="G7" i="4"/>
  <c r="H7" i="4"/>
  <c r="I7" i="4"/>
  <c r="F8" i="4"/>
  <c r="G8" i="4"/>
  <c r="H8" i="4"/>
  <c r="F9" i="4"/>
  <c r="G9" i="4"/>
  <c r="H9" i="4"/>
  <c r="I9" i="4"/>
  <c r="F10" i="4"/>
  <c r="G10" i="4"/>
  <c r="H10" i="4"/>
  <c r="I10" i="4" s="1"/>
  <c r="F11" i="4"/>
  <c r="G11" i="4"/>
  <c r="H11" i="4"/>
  <c r="I11" i="4" s="1"/>
  <c r="F12" i="4"/>
  <c r="G12" i="4"/>
  <c r="H12" i="4"/>
  <c r="F13" i="4"/>
  <c r="G13" i="4"/>
  <c r="H13" i="4"/>
  <c r="I13" i="4" s="1"/>
  <c r="F14" i="4"/>
  <c r="G14" i="4"/>
  <c r="H14" i="4"/>
  <c r="I14" i="4" s="1"/>
  <c r="F15" i="4"/>
  <c r="G15" i="4"/>
  <c r="H15" i="4"/>
  <c r="I15" i="4" s="1"/>
  <c r="F16" i="4"/>
  <c r="G16" i="4"/>
  <c r="H16" i="4"/>
  <c r="F17" i="4"/>
  <c r="G17" i="4"/>
  <c r="H17" i="4"/>
  <c r="I17" i="4" s="1"/>
  <c r="F18" i="4"/>
  <c r="G18" i="4"/>
  <c r="H18" i="4"/>
  <c r="I18" i="4" s="1"/>
  <c r="F19" i="4"/>
  <c r="G19" i="4"/>
  <c r="H19" i="4"/>
  <c r="I19" i="4" s="1"/>
  <c r="F20" i="4"/>
  <c r="G20" i="4"/>
  <c r="H20" i="4"/>
  <c r="I20" i="4" s="1"/>
  <c r="F21" i="4"/>
  <c r="G21" i="4"/>
  <c r="H21" i="4"/>
  <c r="F22" i="4"/>
  <c r="G22" i="4"/>
  <c r="H22" i="4"/>
  <c r="I22" i="4" s="1"/>
  <c r="F23" i="4"/>
  <c r="G23" i="4"/>
  <c r="H23" i="4"/>
  <c r="I23" i="4" s="1"/>
  <c r="F24" i="4"/>
  <c r="G24" i="4"/>
  <c r="H24" i="4"/>
  <c r="F25" i="4"/>
  <c r="G25" i="4"/>
  <c r="H25" i="4"/>
  <c r="I25" i="4" s="1"/>
  <c r="F26" i="4"/>
  <c r="G26" i="4"/>
  <c r="H26" i="4"/>
  <c r="I26" i="4" s="1"/>
  <c r="F27" i="4"/>
  <c r="G27" i="4"/>
  <c r="H27" i="4"/>
  <c r="I27" i="4" s="1"/>
  <c r="F28" i="4"/>
  <c r="G28" i="4"/>
  <c r="H28" i="4"/>
  <c r="F29" i="4"/>
  <c r="G29" i="4"/>
  <c r="H29" i="4"/>
  <c r="F30" i="4"/>
  <c r="G30" i="4"/>
  <c r="H30" i="4"/>
  <c r="F31" i="4"/>
  <c r="G31" i="4"/>
  <c r="H31" i="4"/>
  <c r="I31" i="4" s="1"/>
  <c r="F32" i="4"/>
  <c r="G32" i="4"/>
  <c r="H32" i="4"/>
  <c r="I32" i="4" s="1"/>
  <c r="F33" i="4"/>
  <c r="G33" i="4"/>
  <c r="H33" i="4"/>
  <c r="F34" i="4"/>
  <c r="G34" i="4"/>
  <c r="H34" i="4"/>
  <c r="F35" i="4"/>
  <c r="I35" i="4" s="1"/>
  <c r="G35" i="4"/>
  <c r="H35" i="4"/>
  <c r="F36" i="4"/>
  <c r="I36" i="4" s="1"/>
  <c r="G36" i="4"/>
  <c r="H36" i="4"/>
  <c r="F37" i="4"/>
  <c r="G37" i="4"/>
  <c r="H37" i="4"/>
  <c r="F38" i="4"/>
  <c r="G38" i="4"/>
  <c r="H38" i="4"/>
  <c r="I38" i="4"/>
  <c r="F39" i="4"/>
  <c r="G39" i="4"/>
  <c r="I39" i="4" s="1"/>
  <c r="H39" i="4"/>
  <c r="F40" i="4"/>
  <c r="G40" i="4"/>
  <c r="H40" i="4"/>
  <c r="I40" i="4"/>
  <c r="F41" i="4"/>
  <c r="G41" i="4"/>
  <c r="H41" i="4"/>
  <c r="F42" i="4"/>
  <c r="G42" i="4"/>
  <c r="H42" i="4"/>
  <c r="F43" i="4"/>
  <c r="G43" i="4"/>
  <c r="H43" i="4"/>
  <c r="F44" i="4"/>
  <c r="G44" i="4"/>
  <c r="H44" i="4"/>
  <c r="F45" i="4"/>
  <c r="G45" i="4"/>
  <c r="H45" i="4"/>
  <c r="F46" i="4"/>
  <c r="G46" i="4"/>
  <c r="H46" i="4"/>
  <c r="F47" i="4"/>
  <c r="G47" i="4"/>
  <c r="H47" i="4"/>
  <c r="F48" i="4"/>
  <c r="G48" i="4"/>
  <c r="H48" i="4"/>
  <c r="F49" i="4"/>
  <c r="G49" i="4"/>
  <c r="H49" i="4"/>
  <c r="F50" i="4"/>
  <c r="G50" i="4"/>
  <c r="H50" i="4"/>
  <c r="F51" i="4"/>
  <c r="G51" i="4"/>
  <c r="H51" i="4"/>
  <c r="F52" i="4"/>
  <c r="G52" i="4"/>
  <c r="H52" i="4"/>
  <c r="F53" i="4"/>
  <c r="G53" i="4"/>
  <c r="H53" i="4"/>
  <c r="F54" i="4"/>
  <c r="G54" i="4"/>
  <c r="H54" i="4"/>
  <c r="F55" i="4"/>
  <c r="G55" i="4"/>
  <c r="H55" i="4"/>
  <c r="F56" i="4"/>
  <c r="G56" i="4"/>
  <c r="H56" i="4"/>
  <c r="F57" i="4"/>
  <c r="G57" i="4"/>
  <c r="H57" i="4"/>
  <c r="F58" i="4"/>
  <c r="G58" i="4"/>
  <c r="H58" i="4"/>
  <c r="F59" i="4"/>
  <c r="G59" i="4"/>
  <c r="H59" i="4"/>
  <c r="F60" i="4"/>
  <c r="G60" i="4"/>
  <c r="H60" i="4"/>
  <c r="F61" i="4"/>
  <c r="G61" i="4"/>
  <c r="H61" i="4"/>
  <c r="I61" i="4" s="1"/>
  <c r="F62" i="4"/>
  <c r="G62" i="4"/>
  <c r="H62" i="4"/>
  <c r="F63" i="4"/>
  <c r="G63" i="4"/>
  <c r="H63" i="4"/>
  <c r="F64" i="4"/>
  <c r="G64" i="4"/>
  <c r="H64" i="4"/>
  <c r="F65" i="4"/>
  <c r="G65" i="4"/>
  <c r="H65" i="4"/>
  <c r="F66" i="4"/>
  <c r="G66" i="4"/>
  <c r="H66" i="4"/>
  <c r="I66" i="4"/>
  <c r="F67" i="4"/>
  <c r="G67" i="4"/>
  <c r="H67" i="4"/>
  <c r="I67" i="4"/>
  <c r="F68" i="4"/>
  <c r="G68" i="4"/>
  <c r="F69" i="4"/>
  <c r="G69" i="4"/>
  <c r="F70" i="4"/>
  <c r="G70" i="4"/>
  <c r="F71" i="4"/>
  <c r="G71" i="4"/>
  <c r="F72" i="4"/>
  <c r="G72" i="4"/>
  <c r="F73" i="4"/>
  <c r="G73" i="4"/>
  <c r="F74" i="4"/>
  <c r="G74" i="4"/>
  <c r="F75" i="4"/>
  <c r="G75" i="4"/>
  <c r="F76" i="4"/>
  <c r="G76" i="4"/>
  <c r="F77" i="4"/>
  <c r="F78" i="4"/>
  <c r="F79" i="4"/>
  <c r="F80" i="4"/>
  <c r="F81" i="4"/>
  <c r="I81" i="4"/>
  <c r="F82" i="4"/>
  <c r="F83" i="4"/>
  <c r="F84" i="4"/>
  <c r="F85" i="4"/>
  <c r="F86" i="4"/>
  <c r="F87" i="4"/>
  <c r="F88" i="4"/>
  <c r="F89" i="4"/>
  <c r="F90" i="4"/>
  <c r="F91" i="4"/>
  <c r="P4" i="4"/>
  <c r="P5" i="4"/>
  <c r="P6" i="4"/>
  <c r="P7" i="4"/>
  <c r="P8" i="4"/>
  <c r="P9" i="4"/>
  <c r="P10" i="4"/>
  <c r="P11" i="4"/>
  <c r="P12" i="4"/>
  <c r="P3" i="4"/>
  <c r="O4" i="4"/>
  <c r="O5" i="4"/>
  <c r="O6" i="4"/>
  <c r="O7" i="4"/>
  <c r="O8" i="4"/>
  <c r="O9" i="4"/>
  <c r="O10" i="4"/>
  <c r="O11" i="4"/>
  <c r="O12" i="4"/>
  <c r="O3" i="4"/>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H3" i="4"/>
  <c r="G3" i="4"/>
  <c r="F3" i="4"/>
  <c r="F3"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87" i="2"/>
  <c r="F129" i="2"/>
  <c r="I129" i="2" s="1"/>
  <c r="F128" i="2"/>
  <c r="I128" i="2" s="1"/>
  <c r="F127" i="2"/>
  <c r="I127" i="2" s="1"/>
  <c r="F126" i="2"/>
  <c r="I126" i="2" s="1"/>
  <c r="F125" i="2"/>
  <c r="I125" i="2" s="1"/>
  <c r="F124" i="2"/>
  <c r="I124" i="2" s="1"/>
  <c r="F123" i="2"/>
  <c r="I123" i="2" s="1"/>
  <c r="O4" i="2"/>
  <c r="O5" i="2"/>
  <c r="O6" i="2"/>
  <c r="O7" i="2"/>
  <c r="O8" i="2"/>
  <c r="O9" i="2"/>
  <c r="O10" i="2"/>
  <c r="O11" i="2"/>
  <c r="O12" i="2"/>
  <c r="O3" i="2"/>
  <c r="F4" i="2"/>
  <c r="G4" i="2"/>
  <c r="H4" i="2"/>
  <c r="F5" i="2"/>
  <c r="G5" i="2"/>
  <c r="H5" i="2"/>
  <c r="F6" i="2"/>
  <c r="G6" i="2"/>
  <c r="H6" i="2"/>
  <c r="F7" i="2"/>
  <c r="G7" i="2"/>
  <c r="H7" i="2"/>
  <c r="F8" i="2"/>
  <c r="G8" i="2"/>
  <c r="H8" i="2"/>
  <c r="F9" i="2"/>
  <c r="G9" i="2"/>
  <c r="H9" i="2"/>
  <c r="F10" i="2"/>
  <c r="G10" i="2"/>
  <c r="H10" i="2"/>
  <c r="F11" i="2"/>
  <c r="G11" i="2"/>
  <c r="H11" i="2"/>
  <c r="F12" i="2"/>
  <c r="G12" i="2"/>
  <c r="H12" i="2"/>
  <c r="F13" i="2"/>
  <c r="G13" i="2"/>
  <c r="H13" i="2"/>
  <c r="F14" i="2"/>
  <c r="G14" i="2"/>
  <c r="H14" i="2"/>
  <c r="F15" i="2"/>
  <c r="G15" i="2"/>
  <c r="H15" i="2"/>
  <c r="F16" i="2"/>
  <c r="G16" i="2"/>
  <c r="H16" i="2"/>
  <c r="F17" i="2"/>
  <c r="G17" i="2"/>
  <c r="H17" i="2"/>
  <c r="F18" i="2"/>
  <c r="G18" i="2"/>
  <c r="H18" i="2"/>
  <c r="F19" i="2"/>
  <c r="G19" i="2"/>
  <c r="H19" i="2"/>
  <c r="F20" i="2"/>
  <c r="G20" i="2"/>
  <c r="H20" i="2"/>
  <c r="F21" i="2"/>
  <c r="G21" i="2"/>
  <c r="H21" i="2"/>
  <c r="F22" i="2"/>
  <c r="G22" i="2"/>
  <c r="H22" i="2"/>
  <c r="F23" i="2"/>
  <c r="G23" i="2"/>
  <c r="H23" i="2"/>
  <c r="F24" i="2"/>
  <c r="G24" i="2"/>
  <c r="H24" i="2"/>
  <c r="F25" i="2"/>
  <c r="G25" i="2"/>
  <c r="H25" i="2"/>
  <c r="F26" i="2"/>
  <c r="G26" i="2"/>
  <c r="H26" i="2"/>
  <c r="F27" i="2"/>
  <c r="G27" i="2"/>
  <c r="H27" i="2"/>
  <c r="F28" i="2"/>
  <c r="G28" i="2"/>
  <c r="H28" i="2"/>
  <c r="F29" i="2"/>
  <c r="G29" i="2"/>
  <c r="H29" i="2"/>
  <c r="F30" i="2"/>
  <c r="G30" i="2"/>
  <c r="H30" i="2"/>
  <c r="F31" i="2"/>
  <c r="G31" i="2"/>
  <c r="H31" i="2"/>
  <c r="F32" i="2"/>
  <c r="G32" i="2"/>
  <c r="H32" i="2"/>
  <c r="F33" i="2"/>
  <c r="G33" i="2"/>
  <c r="H33" i="2"/>
  <c r="F34" i="2"/>
  <c r="G34" i="2"/>
  <c r="H34" i="2"/>
  <c r="F35" i="2"/>
  <c r="G35" i="2"/>
  <c r="H35" i="2"/>
  <c r="F36" i="2"/>
  <c r="G36" i="2"/>
  <c r="H36" i="2"/>
  <c r="F37" i="2"/>
  <c r="G37" i="2"/>
  <c r="H37" i="2"/>
  <c r="F38" i="2"/>
  <c r="G38" i="2"/>
  <c r="H38" i="2"/>
  <c r="F39" i="2"/>
  <c r="G39" i="2"/>
  <c r="H39" i="2"/>
  <c r="F40" i="2"/>
  <c r="G40" i="2"/>
  <c r="H40" i="2"/>
  <c r="F41" i="2"/>
  <c r="G41" i="2"/>
  <c r="H41" i="2"/>
  <c r="F42" i="2"/>
  <c r="G42" i="2"/>
  <c r="H42" i="2"/>
  <c r="F43" i="2"/>
  <c r="G43" i="2"/>
  <c r="H43" i="2"/>
  <c r="F44" i="2"/>
  <c r="G44" i="2"/>
  <c r="H44" i="2"/>
  <c r="F45" i="2"/>
  <c r="G45" i="2"/>
  <c r="H45" i="2"/>
  <c r="F46" i="2"/>
  <c r="G46" i="2"/>
  <c r="H46" i="2"/>
  <c r="F47" i="2"/>
  <c r="G47" i="2"/>
  <c r="H47" i="2"/>
  <c r="F48" i="2"/>
  <c r="G48" i="2"/>
  <c r="H48" i="2"/>
  <c r="F49" i="2"/>
  <c r="G49" i="2"/>
  <c r="H49" i="2"/>
  <c r="F50" i="2"/>
  <c r="G50" i="2"/>
  <c r="H50" i="2"/>
  <c r="F51" i="2"/>
  <c r="G51" i="2"/>
  <c r="H51" i="2"/>
  <c r="F52" i="2"/>
  <c r="G52" i="2"/>
  <c r="H52" i="2"/>
  <c r="F53" i="2"/>
  <c r="G53" i="2"/>
  <c r="H53" i="2"/>
  <c r="F54" i="2"/>
  <c r="G54" i="2"/>
  <c r="H54" i="2"/>
  <c r="F55" i="2"/>
  <c r="G55" i="2"/>
  <c r="H55" i="2"/>
  <c r="F56" i="2"/>
  <c r="G56" i="2"/>
  <c r="H56" i="2"/>
  <c r="F57" i="2"/>
  <c r="G57" i="2"/>
  <c r="H57" i="2"/>
  <c r="F58" i="2"/>
  <c r="G58" i="2"/>
  <c r="H58" i="2"/>
  <c r="F59" i="2"/>
  <c r="G59" i="2"/>
  <c r="H59" i="2"/>
  <c r="F60" i="2"/>
  <c r="G60" i="2"/>
  <c r="H60" i="2"/>
  <c r="F61" i="2"/>
  <c r="G61" i="2"/>
  <c r="H61" i="2"/>
  <c r="F62" i="2"/>
  <c r="G62" i="2"/>
  <c r="H62" i="2"/>
  <c r="F63" i="2"/>
  <c r="G63" i="2"/>
  <c r="H63" i="2"/>
  <c r="F64" i="2"/>
  <c r="G64" i="2"/>
  <c r="H64" i="2"/>
  <c r="F65" i="2"/>
  <c r="G65" i="2"/>
  <c r="H65" i="2"/>
  <c r="F66" i="2"/>
  <c r="G66" i="2"/>
  <c r="H66" i="2"/>
  <c r="F67" i="2"/>
  <c r="G67" i="2"/>
  <c r="H67" i="2"/>
  <c r="F68" i="2"/>
  <c r="G68" i="2"/>
  <c r="H68" i="2"/>
  <c r="F69" i="2"/>
  <c r="G69" i="2"/>
  <c r="H69" i="2"/>
  <c r="F70" i="2"/>
  <c r="G70" i="2"/>
  <c r="H70" i="2"/>
  <c r="F71" i="2"/>
  <c r="G71" i="2"/>
  <c r="H71" i="2"/>
  <c r="F72" i="2"/>
  <c r="G72" i="2"/>
  <c r="H72" i="2"/>
  <c r="F73" i="2"/>
  <c r="G73" i="2"/>
  <c r="H73" i="2"/>
  <c r="F74" i="2"/>
  <c r="G74" i="2"/>
  <c r="H74" i="2"/>
  <c r="F75" i="2"/>
  <c r="G75" i="2"/>
  <c r="H75" i="2"/>
  <c r="F76" i="2"/>
  <c r="G76" i="2"/>
  <c r="H76" i="2"/>
  <c r="F77" i="2"/>
  <c r="G77" i="2"/>
  <c r="H77" i="2"/>
  <c r="F78" i="2"/>
  <c r="G78" i="2"/>
  <c r="H78" i="2"/>
  <c r="F79" i="2"/>
  <c r="G79" i="2"/>
  <c r="H79" i="2"/>
  <c r="F80" i="2"/>
  <c r="G80" i="2"/>
  <c r="H80" i="2"/>
  <c r="F81" i="2"/>
  <c r="G81" i="2"/>
  <c r="H81" i="2"/>
  <c r="F82" i="2"/>
  <c r="G82" i="2"/>
  <c r="H82" i="2"/>
  <c r="F83" i="2"/>
  <c r="G83" i="2"/>
  <c r="H83" i="2"/>
  <c r="F84" i="2"/>
  <c r="G84" i="2"/>
  <c r="H84" i="2"/>
  <c r="F85" i="2"/>
  <c r="G85" i="2"/>
  <c r="H85" i="2"/>
  <c r="F86" i="2"/>
  <c r="G86" i="2"/>
  <c r="H86" i="2"/>
  <c r="F87" i="2"/>
  <c r="G87" i="2"/>
  <c r="F88" i="2"/>
  <c r="G88" i="2"/>
  <c r="F89" i="2"/>
  <c r="G89" i="2"/>
  <c r="F90" i="2"/>
  <c r="G90" i="2"/>
  <c r="F91" i="2"/>
  <c r="G91" i="2"/>
  <c r="F92" i="2"/>
  <c r="G92" i="2"/>
  <c r="F93" i="2"/>
  <c r="G93" i="2"/>
  <c r="F94" i="2"/>
  <c r="G94" i="2"/>
  <c r="F95" i="2"/>
  <c r="G95" i="2"/>
  <c r="F96" i="2"/>
  <c r="G96" i="2"/>
  <c r="F97" i="2"/>
  <c r="G97" i="2"/>
  <c r="F98" i="2"/>
  <c r="G98" i="2"/>
  <c r="F99" i="2"/>
  <c r="G99" i="2"/>
  <c r="F100" i="2"/>
  <c r="G100" i="2"/>
  <c r="F101" i="2"/>
  <c r="G101" i="2"/>
  <c r="F102" i="2"/>
  <c r="G102" i="2"/>
  <c r="F103" i="2"/>
  <c r="G103" i="2"/>
  <c r="F104" i="2"/>
  <c r="G104" i="2"/>
  <c r="F105" i="2"/>
  <c r="G105" i="2"/>
  <c r="F106" i="2"/>
  <c r="G106" i="2"/>
  <c r="F107" i="2"/>
  <c r="G107" i="2"/>
  <c r="F108" i="2"/>
  <c r="F109" i="2"/>
  <c r="F110" i="2"/>
  <c r="F111" i="2"/>
  <c r="F112" i="2"/>
  <c r="F113" i="2"/>
  <c r="F114" i="2"/>
  <c r="F115" i="2"/>
  <c r="F116" i="2"/>
  <c r="F117" i="2"/>
  <c r="F118" i="2"/>
  <c r="F119" i="2"/>
  <c r="F120" i="2"/>
  <c r="F121" i="2"/>
  <c r="F122" i="2"/>
  <c r="N4" i="2"/>
  <c r="N5" i="2"/>
  <c r="N6" i="2"/>
  <c r="N7" i="2"/>
  <c r="N8" i="2"/>
  <c r="N9" i="2"/>
  <c r="N10" i="2"/>
  <c r="N11" i="2"/>
  <c r="N12" i="2"/>
  <c r="N3" i="2"/>
  <c r="G3" i="2"/>
  <c r="H3" i="2"/>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F63" i="1"/>
  <c r="F36" i="1"/>
  <c r="F6" i="1"/>
  <c r="F68" i="1"/>
  <c r="F7" i="1"/>
  <c r="F3" i="1"/>
  <c r="F30" i="1"/>
  <c r="F34" i="1"/>
  <c r="F76" i="1"/>
  <c r="F67" i="1"/>
  <c r="F70" i="1"/>
  <c r="F27" i="1"/>
  <c r="F52" i="1"/>
  <c r="F21" i="1"/>
  <c r="F40" i="1"/>
  <c r="F25" i="1"/>
  <c r="F2" i="1"/>
  <c r="F54" i="1"/>
  <c r="F20" i="1"/>
  <c r="F4" i="1"/>
  <c r="F66" i="1"/>
  <c r="F31" i="1"/>
  <c r="F71" i="1"/>
  <c r="F62" i="1"/>
  <c r="F51" i="1"/>
  <c r="F78" i="1"/>
  <c r="F53" i="1"/>
  <c r="F11" i="1"/>
  <c r="F56" i="1"/>
  <c r="F42" i="1"/>
  <c r="F35" i="1"/>
  <c r="F41" i="1"/>
  <c r="F69" i="1"/>
  <c r="F15" i="1"/>
  <c r="F28" i="1"/>
  <c r="F17" i="1"/>
  <c r="F72" i="1"/>
  <c r="F24" i="1"/>
  <c r="F49" i="1"/>
  <c r="F16" i="1"/>
  <c r="F33" i="1"/>
  <c r="F19" i="1"/>
  <c r="F37" i="1"/>
  <c r="F38" i="1"/>
  <c r="F18" i="1"/>
  <c r="F77" i="1"/>
  <c r="F45" i="1"/>
  <c r="F23" i="1"/>
  <c r="F26" i="1"/>
  <c r="F44" i="1"/>
  <c r="F13" i="1"/>
  <c r="F48" i="1"/>
  <c r="F65" i="1"/>
  <c r="F75" i="1"/>
  <c r="F73" i="1"/>
  <c r="F60" i="1"/>
  <c r="F39" i="1"/>
  <c r="F29" i="1"/>
  <c r="F50" i="1"/>
  <c r="F5" i="1"/>
  <c r="F61" i="1"/>
  <c r="F47" i="1"/>
  <c r="F59" i="1"/>
  <c r="F32" i="1"/>
  <c r="F64" i="1"/>
  <c r="F43" i="1"/>
  <c r="F22" i="1"/>
  <c r="F74" i="1"/>
  <c r="F10" i="1"/>
  <c r="F57" i="1"/>
  <c r="F14" i="1"/>
  <c r="F55" i="1"/>
  <c r="F58" i="1"/>
  <c r="F46" i="1"/>
  <c r="F9" i="1"/>
  <c r="F12" i="1"/>
  <c r="F8" i="1"/>
  <c r="E63" i="1"/>
  <c r="E36" i="1"/>
  <c r="E6" i="1"/>
  <c r="E68" i="1"/>
  <c r="E7" i="1"/>
  <c r="E3" i="1"/>
  <c r="E30" i="1"/>
  <c r="E34" i="1"/>
  <c r="E76" i="1"/>
  <c r="E67" i="1"/>
  <c r="E70" i="1"/>
  <c r="E27" i="1"/>
  <c r="E52" i="1"/>
  <c r="E21" i="1"/>
  <c r="E40" i="1"/>
  <c r="E25" i="1"/>
  <c r="E2" i="1"/>
  <c r="E54" i="1"/>
  <c r="E20" i="1"/>
  <c r="E4" i="1"/>
  <c r="E66" i="1"/>
  <c r="E31" i="1"/>
  <c r="E71" i="1"/>
  <c r="E62" i="1"/>
  <c r="E51" i="1"/>
  <c r="E78" i="1"/>
  <c r="E53" i="1"/>
  <c r="E11" i="1"/>
  <c r="E56" i="1"/>
  <c r="E42" i="1"/>
  <c r="E35" i="1"/>
  <c r="E41" i="1"/>
  <c r="E69" i="1"/>
  <c r="E15" i="1"/>
  <c r="E28" i="1"/>
  <c r="E17" i="1"/>
  <c r="E72" i="1"/>
  <c r="E24" i="1"/>
  <c r="E49" i="1"/>
  <c r="E16" i="1"/>
  <c r="E33" i="1"/>
  <c r="E19" i="1"/>
  <c r="E37" i="1"/>
  <c r="E38" i="1"/>
  <c r="E18" i="1"/>
  <c r="E77" i="1"/>
  <c r="E45" i="1"/>
  <c r="E23" i="1"/>
  <c r="E26" i="1"/>
  <c r="E44" i="1"/>
  <c r="E13" i="1"/>
  <c r="E48" i="1"/>
  <c r="E65" i="1"/>
  <c r="E75" i="1"/>
  <c r="E73" i="1"/>
  <c r="E60" i="1"/>
  <c r="E39" i="1"/>
  <c r="E29" i="1"/>
  <c r="E50" i="1"/>
  <c r="E5" i="1"/>
  <c r="E61" i="1"/>
  <c r="E47" i="1"/>
  <c r="E59" i="1"/>
  <c r="E32" i="1"/>
  <c r="E64" i="1"/>
  <c r="E43" i="1"/>
  <c r="E22" i="1"/>
  <c r="E74" i="1"/>
  <c r="E10" i="1"/>
  <c r="E57" i="1"/>
  <c r="E14" i="1"/>
  <c r="E55" i="1"/>
  <c r="E58" i="1"/>
  <c r="E46" i="1"/>
  <c r="E9" i="1"/>
  <c r="E12" i="1"/>
  <c r="E8" i="1"/>
  <c r="F6" i="5" l="1"/>
  <c r="F8" i="5"/>
  <c r="F7" i="5"/>
  <c r="F2" i="5"/>
  <c r="F11" i="5"/>
  <c r="F3" i="5"/>
  <c r="F5" i="5"/>
  <c r="F4" i="5"/>
  <c r="F9" i="5"/>
  <c r="F10" i="5"/>
  <c r="I90" i="4"/>
  <c r="I89" i="4"/>
  <c r="I80" i="4"/>
  <c r="I84" i="4"/>
  <c r="I83" i="4"/>
  <c r="I86" i="4"/>
  <c r="I82" i="4"/>
  <c r="I85" i="4"/>
  <c r="I74" i="4"/>
  <c r="I76" i="4"/>
  <c r="I77" i="4"/>
  <c r="I87" i="4"/>
  <c r="I75" i="4"/>
  <c r="I73" i="4"/>
  <c r="I78" i="4"/>
  <c r="I70" i="4"/>
  <c r="I69" i="4"/>
  <c r="I68" i="4"/>
  <c r="I42" i="4"/>
  <c r="I44" i="4"/>
  <c r="I47" i="4"/>
  <c r="I49" i="4"/>
  <c r="I52" i="4"/>
  <c r="I54" i="4"/>
  <c r="I55" i="4"/>
  <c r="I57" i="4"/>
  <c r="I59" i="4"/>
  <c r="I41" i="4"/>
  <c r="I43" i="4"/>
  <c r="I45" i="4"/>
  <c r="I46" i="4"/>
  <c r="I48" i="4"/>
  <c r="I51" i="4"/>
  <c r="I53" i="4"/>
  <c r="I56" i="4"/>
  <c r="I58" i="4"/>
  <c r="I63" i="4"/>
  <c r="I37" i="4"/>
  <c r="I64" i="4"/>
  <c r="I65" i="4"/>
  <c r="I71" i="4"/>
  <c r="I72" i="4"/>
  <c r="I79" i="4"/>
  <c r="I88" i="4"/>
  <c r="I33" i="4"/>
  <c r="I34" i="4"/>
  <c r="I62" i="4"/>
  <c r="I16" i="4"/>
  <c r="I21" i="4"/>
  <c r="I29" i="4"/>
  <c r="I24" i="4"/>
  <c r="I6" i="4"/>
  <c r="I12" i="4"/>
  <c r="I30" i="4"/>
  <c r="I60" i="4"/>
  <c r="I91" i="4"/>
  <c r="I28" i="4"/>
  <c r="I4" i="4"/>
  <c r="I8" i="4"/>
  <c r="I50" i="4"/>
  <c r="I3" i="4"/>
  <c r="I112" i="2"/>
  <c r="I117" i="2"/>
  <c r="I77" i="2"/>
  <c r="I76" i="2"/>
  <c r="I41" i="2"/>
  <c r="I111" i="2"/>
  <c r="I114" i="2"/>
  <c r="I94" i="2"/>
  <c r="I93" i="2"/>
  <c r="I113" i="2"/>
  <c r="I66" i="2"/>
  <c r="I91" i="2"/>
  <c r="I95" i="2"/>
  <c r="I97" i="2"/>
  <c r="I109" i="2"/>
  <c r="I110" i="2"/>
  <c r="I115" i="2"/>
  <c r="I116" i="2"/>
  <c r="I104" i="2"/>
  <c r="I118" i="2"/>
  <c r="I119" i="2"/>
  <c r="I120" i="2"/>
  <c r="I121" i="2"/>
  <c r="I122" i="2"/>
  <c r="I42" i="2"/>
  <c r="I87" i="2"/>
  <c r="I82" i="2"/>
  <c r="I80" i="2"/>
  <c r="I67" i="2"/>
  <c r="I68" i="2"/>
  <c r="I79" i="2"/>
  <c r="I69" i="2"/>
  <c r="I70" i="2"/>
  <c r="I74" i="2"/>
  <c r="I75" i="2"/>
  <c r="I103" i="2"/>
  <c r="I78" i="2"/>
  <c r="I100" i="2"/>
  <c r="I106" i="2"/>
  <c r="I92" i="2"/>
  <c r="I96" i="2"/>
  <c r="I99" i="2"/>
  <c r="I102" i="2"/>
  <c r="I108" i="2"/>
  <c r="I25" i="2"/>
  <c r="I26" i="2"/>
  <c r="I27" i="2"/>
  <c r="I28" i="2"/>
  <c r="I29" i="2"/>
  <c r="I39" i="2"/>
  <c r="I40" i="2"/>
  <c r="I43" i="2"/>
  <c r="I44" i="2"/>
  <c r="I45" i="2"/>
  <c r="I46" i="2"/>
  <c r="I48" i="2"/>
  <c r="I50" i="2"/>
  <c r="I51" i="2"/>
  <c r="I52" i="2"/>
  <c r="I54" i="2"/>
  <c r="I57" i="2"/>
  <c r="I59" i="2"/>
  <c r="I64" i="2"/>
  <c r="I32" i="2"/>
  <c r="I31" i="2"/>
  <c r="I21" i="2"/>
  <c r="I53" i="2"/>
  <c r="I58" i="2"/>
  <c r="I62" i="2"/>
  <c r="I63" i="2"/>
  <c r="I35" i="2"/>
  <c r="I37" i="2"/>
  <c r="I72" i="2"/>
  <c r="I22" i="2"/>
  <c r="I30" i="2"/>
  <c r="I34" i="2"/>
  <c r="I36" i="2"/>
  <c r="I47" i="2"/>
  <c r="I49" i="2"/>
  <c r="I60" i="2"/>
  <c r="I61" i="2"/>
  <c r="I71" i="2"/>
  <c r="I20" i="2"/>
  <c r="I23" i="2"/>
  <c r="I24" i="2"/>
  <c r="I5" i="2"/>
  <c r="I19" i="2"/>
  <c r="I55" i="2"/>
  <c r="I33" i="2"/>
  <c r="I38" i="2"/>
  <c r="I56" i="2"/>
  <c r="I65" i="2"/>
  <c r="I73" i="2"/>
  <c r="I105" i="2"/>
  <c r="I107" i="2"/>
  <c r="I81" i="2"/>
  <c r="I83" i="2"/>
  <c r="I84" i="2"/>
  <c r="I85" i="2"/>
  <c r="I86" i="2"/>
  <c r="I88" i="2"/>
  <c r="I89" i="2"/>
  <c r="I90" i="2"/>
  <c r="I98" i="2"/>
  <c r="I101" i="2"/>
  <c r="I4" i="2"/>
  <c r="I6" i="2"/>
  <c r="I9" i="2"/>
  <c r="I13" i="2"/>
  <c r="I14" i="2"/>
  <c r="I15" i="2"/>
  <c r="I16" i="2"/>
  <c r="I17" i="2"/>
  <c r="I18" i="2"/>
  <c r="I7" i="2"/>
  <c r="I8" i="2"/>
  <c r="I10" i="2"/>
  <c r="I11" i="2"/>
  <c r="I12" i="2"/>
  <c r="I3"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tc={C14C8890-13B9-2044-9AFC-20A2A3E38CD7}</author>
  </authors>
  <commentList>
    <comment ref="N2" authorId="0" shapeId="2049" xr:uid="{C14C8890-13B9-2044-9AFC-20A2A3E38CD7}">
      <text>
        <t>[Threaded comment]
Your version of Excel allows you to read this threaded comment; however, any edits to it will get removed if the file is opened in a newer version of Excel. Learn more: https://go.microsoft.com/fwlink/?linkid=870924
Comment:
    expected_respondents_required</t>
      </text>
      <mc:AlternateContent xmlns:mc="http://schemas.openxmlformats.org/markup-compatibility/2006">
        <mc:Choice Requires="v"/>
        <mc:Fallback>
          <commentPr defaultSize="0" autoFill="0" autoLine="0">
            <anchor>
              <from>
                <xdr:col>14</xdr:col>
                <xdr:colOff>190500</xdr:colOff>
                <xdr:row>1</xdr:row>
                <xdr:rowOff>25400</xdr:rowOff>
              </from>
              <to>
                <xdr:col>15</xdr:col>
                <xdr:colOff>0</xdr:colOff>
                <xdr:row>5</xdr:row>
                <xdr:rowOff>101600</xdr:rowOff>
              </to>
            </anchor>
          </commentPr>
        </mc:Fallback>
      </mc:AlternateContent>
    </comment>
  </commentList>
</comments>
</file>

<file path=xl/comments2.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tc={F326C9DB-B8A2-754D-8C05-3A101DA3E60A}</author>
  </authors>
  <commentList>
    <comment ref="O2" authorId="0" shapeId="4097" xr:uid="{F326C9DB-B8A2-754D-8C05-3A101DA3E60A}">
      <text>
        <t>[Threaded comment]
Your version of Excel allows you to read this threaded comment; however, any edits to it will get removed if the file is opened in a newer version of Excel. Learn more: https://go.microsoft.com/fwlink/?linkid=870924
Comment:
    expected_respondents_required</t>
      </text>
      <mc:AlternateContent xmlns:mc="http://schemas.openxmlformats.org/markup-compatibility/2006">
        <mc:Choice Requires="v"/>
        <mc:Fallback>
          <commentPr defaultSize="0" autoFill="0" autoLine="0">
            <anchor>
              <from>
                <xdr:col>15</xdr:col>
                <xdr:colOff>190500</xdr:colOff>
                <xdr:row>0</xdr:row>
                <xdr:rowOff>76200</xdr:rowOff>
              </from>
              <to>
                <xdr:col>16</xdr:col>
                <xdr:colOff>0</xdr:colOff>
                <xdr:row>4</xdr:row>
                <xdr:rowOff>165100</xdr:rowOff>
              </to>
            </anchor>
          </commentPr>
        </mc:Fallback>
      </mc:AlternateContent>
    </comment>
  </commentList>
</comments>
</file>

<file path=xl/sharedStrings.xml><?xml version="1.0" encoding="utf-8"?>
<sst xmlns="http://purl.oclc.org/ooxml/spreadsheetml/main" count="470" uniqueCount="140">
  <si>
    <t>category_id</t>
  </si>
  <si>
    <t>category_name</t>
  </si>
  <si>
    <t>incidence_rate</t>
  </si>
  <si>
    <t>category_length_seconds</t>
  </si>
  <si>
    <t>Fertility or IVF service</t>
  </si>
  <si>
    <t>Big and Tall Men's Clothing</t>
  </si>
  <si>
    <t>Self Tan (Female Only)</t>
  </si>
  <si>
    <t>Baby Feeding</t>
  </si>
  <si>
    <t>Baby products</t>
  </si>
  <si>
    <t>Online Healthcare</t>
  </si>
  <si>
    <t>Funeral Services</t>
  </si>
  <si>
    <t>Car Finance</t>
  </si>
  <si>
    <t>Designer Women's Clothing</t>
  </si>
  <si>
    <t>Nappies &amp; wipes</t>
  </si>
  <si>
    <t>Car Rental</t>
  </si>
  <si>
    <t>Accounting Services (Sole Traders)</t>
  </si>
  <si>
    <t>Weight-loss</t>
  </si>
  <si>
    <t>Dark Spirits</t>
  </si>
  <si>
    <t>Fresh Coffee</t>
  </si>
  <si>
    <t>Craft Beer</t>
  </si>
  <si>
    <t>Car &amp; Motorhome Rentals</t>
  </si>
  <si>
    <t>Men's Online Health Providers</t>
  </si>
  <si>
    <t>Vocational Training</t>
  </si>
  <si>
    <t>Period Products</t>
  </si>
  <si>
    <t>Car Modifications</t>
  </si>
  <si>
    <t>Baby and Child Products</t>
  </si>
  <si>
    <t>Luxury Leather Bags/Accessories</t>
  </si>
  <si>
    <t>Shares, brokers, and trading apps/website</t>
  </si>
  <si>
    <t>Online Betting Services</t>
  </si>
  <si>
    <t>Buy Now Pay Later (Gimmie)</t>
  </si>
  <si>
    <t>Alcohol Free Drinks</t>
  </si>
  <si>
    <t>Pre-mixed alcoholic drinks/RTDs</t>
  </si>
  <si>
    <t>Buy Now Pay Later (Laybuy)</t>
  </si>
  <si>
    <t>Men's Clothing (Male Only)</t>
  </si>
  <si>
    <t>Meal Kit Delivery Service</t>
  </si>
  <si>
    <t>Recruitment</t>
  </si>
  <si>
    <t>Alcohol Free Beer</t>
  </si>
  <si>
    <t>Women's Activewear (Female Only)</t>
  </si>
  <si>
    <t>Shares, funds, and term deposits</t>
  </si>
  <si>
    <t>Beddings</t>
  </si>
  <si>
    <t>Natural Health Supplements</t>
  </si>
  <si>
    <t>White Spirits</t>
  </si>
  <si>
    <t>Free-from Baked Goods</t>
  </si>
  <si>
    <t>Camping Equipments</t>
  </si>
  <si>
    <t>Skincare</t>
  </si>
  <si>
    <t>Dog Food</t>
  </si>
  <si>
    <t>Female Skincare</t>
  </si>
  <si>
    <t>Skincare (Female Only)</t>
  </si>
  <si>
    <t>Outdoor Pursuits Apparel</t>
  </si>
  <si>
    <t>Nutrition &amp; Fitness Services</t>
  </si>
  <si>
    <t>Female Clothing (Black Pepper)</t>
  </si>
  <si>
    <t>Real Estate Service</t>
  </si>
  <si>
    <t>Peanut or Nut Butter</t>
  </si>
  <si>
    <t>Female Fashion</t>
  </si>
  <si>
    <t>Outdoor Apparel</t>
  </si>
  <si>
    <t>Prescription Eyewear</t>
  </si>
  <si>
    <t>Healthy Snacks</t>
  </si>
  <si>
    <t>Children's Television</t>
  </si>
  <si>
    <t>Mental Performance Supplements</t>
  </si>
  <si>
    <t>Indoor &amp; Outdoor Cleaners</t>
  </si>
  <si>
    <t>Blinds &amp; Window Furnishings</t>
  </si>
  <si>
    <t>Furniture &amp; Homeware</t>
  </si>
  <si>
    <t>Suncare</t>
  </si>
  <si>
    <t>Umbrellas</t>
  </si>
  <si>
    <t>Massage, beauty and Wellness Services</t>
  </si>
  <si>
    <t>Floor Cleaning Appliances</t>
  </si>
  <si>
    <t>Health &amp; Beauty Retailers</t>
  </si>
  <si>
    <t>Mattresses, beds, and pillows</t>
  </si>
  <si>
    <t>Chocolate</t>
  </si>
  <si>
    <t>Coffee</t>
  </si>
  <si>
    <t>Car Insurance</t>
  </si>
  <si>
    <t>Healthy Beverages</t>
  </si>
  <si>
    <t>Chips, Crisps, Crackers</t>
  </si>
  <si>
    <t>Chocolate confectionery</t>
  </si>
  <si>
    <t>Sugar confectionery</t>
  </si>
  <si>
    <t>Wealth Management</t>
  </si>
  <si>
    <t>Chocolate bars and blocks</t>
  </si>
  <si>
    <t>Fast Food</t>
  </si>
  <si>
    <t>Eco Products</t>
  </si>
  <si>
    <t>Breakfast or Health Foods</t>
  </si>
  <si>
    <t>Kitchenware Retailers</t>
  </si>
  <si>
    <t>bucket_inc_rate</t>
  </si>
  <si>
    <t>respondent_id</t>
  </si>
  <si>
    <t>M14-17</t>
  </si>
  <si>
    <t>F14-17</t>
  </si>
  <si>
    <t>M18-24</t>
  </si>
  <si>
    <t>F18-24</t>
  </si>
  <si>
    <t>M25-39</t>
  </si>
  <si>
    <t>F25-39</t>
  </si>
  <si>
    <t>M40-54</t>
  </si>
  <si>
    <t>F40-54</t>
  </si>
  <si>
    <t>M55-64</t>
  </si>
  <si>
    <t>F55-64</t>
  </si>
  <si>
    <t>M65+</t>
  </si>
  <si>
    <t>F65+</t>
  </si>
  <si>
    <t>NzDemo</t>
  </si>
  <si>
    <t>bucket_category_length_seconds</t>
  </si>
  <si>
    <t>*10 categories, 10 target for reach per category, ~120 respondents.</t>
  </si>
  <si>
    <t>**Choice of categories reflects &lt;480 second rule per respondent.</t>
  </si>
  <si>
    <t>bkt_1_sec</t>
  </si>
  <si>
    <t>bkt_2_sec</t>
  </si>
  <si>
    <t>bkt_3_sec</t>
  </si>
  <si>
    <t>total_seconds_surveyed</t>
  </si>
  <si>
    <t>LOOKUP</t>
  </si>
  <si>
    <t>bkt_1</t>
  </si>
  <si>
    <t>bkt_2</t>
  </si>
  <si>
    <t>bkt_3</t>
  </si>
  <si>
    <t>E_resp_req</t>
  </si>
  <si>
    <t>resp_assigned</t>
  </si>
  <si>
    <t>**Greedy approach - selecting highest incidence rate category first then piggybacking categories, maximizing 480s ttl. time</t>
  </si>
  <si>
    <t>Step2: Select other categories that bucket with this well to maximize time a respondent spends across all surveys</t>
  </si>
  <si>
    <r>
      <t>Step2: Select other categories (</t>
    </r>
    <r>
      <rPr>
        <i/>
        <sz val="12"/>
        <color theme="1"/>
        <rFont val="Aptos Narrow"/>
        <scheme val="minor"/>
      </rPr>
      <t>decided on 32, 19</t>
    </r>
    <r>
      <rPr>
        <sz val="12"/>
        <color theme="1"/>
        <rFont val="Aptos Narrow"/>
        <family val="2"/>
        <scheme val="minor"/>
      </rPr>
      <t>) that bucket with this well to maximize time a respondent spends across all surveys</t>
    </r>
  </si>
  <si>
    <t>Step1: Select "Fertility or IVF service" (lowest incidence rate)</t>
  </si>
  <si>
    <t>Step3: Repeat this process, piggybacking and trying to minimize respondents allocated whilst maximizing total seconds surveyed by filling from the "Fertility or IVY service" group</t>
  </si>
  <si>
    <t>**For the sake of the exercise, with these arbitrary categories selected, could not fit all respondents. However, when using all categories, there will be more values for survey_seconds to utilize, giving more room for selection.</t>
  </si>
  <si>
    <t>*Most triples In this situation and tight and infeasible as five &gt;160s categories were selected, design decision to mimic extreme case.</t>
  </si>
  <si>
    <t>*More uniform distribution than previous greedy example in greedy_cat1.</t>
  </si>
  <si>
    <t>Step1: Assign all respondents to cat_19 (lowest incidence rate)</t>
  </si>
  <si>
    <t>*The &lt;480 second time constraint is not possible with this category selection, happens with upper end category_length_seconds categories</t>
  </si>
  <si>
    <t>Step2.1: If a category has to be assigned to a respondent, prioritize respondents with &gt;=1 assigned categories (utilize existing respondents)</t>
  </si>
  <si>
    <t>Step3: Repeat the process</t>
  </si>
  <si>
    <t>*89/120=74% of total respondents utilized in this example using a greedy approach.</t>
  </si>
  <si>
    <t>*This is problematic in a business context however, as we don't want some respondents to only see surveys for 32 seconds, and others for 470 seconds. The distribution should be relatively even, i.e., all respondents should have roughly the same total_seconds_surveyed value with minimal outliers. Essentially paid recruitment to barely utilize them.</t>
  </si>
  <si>
    <t>10% incidence rate, requiring 200 in each category:</t>
  </si>
  <si>
    <t>minimum possible for allocation is 200/0.1 = 2000</t>
  </si>
  <si>
    <t>Expected_respondents_required</t>
  </si>
  <si>
    <t>*if we ignore the seconds_viewed contraint and allocate respondents irrespective of high/low incidence rate bucketing combinations, we can perform a running cumulative sum, finding out how many bundles of 2400 repsondents we require… (column F)</t>
  </si>
  <si>
    <t>* 2400 respondents per bundle, and a respondent can have 3 categories, so simplified view of problem becomes: 2400*3=7200 buckets per respondent bundle</t>
  </si>
  <si>
    <t xml:space="preserve">* Thus perform cumulative sum, each respondent can have 3 categories, so 3*2400 yields 7200 categories assigned per bundle of 2400 respondents. </t>
  </si>
  <si>
    <t>bundles of 2400 respondents req.</t>
  </si>
  <si>
    <t>minimum respondents required for exercise.</t>
  </si>
  <si>
    <t>**ignoring seconds_viewed condition</t>
  </si>
  <si>
    <t>**assuming resp can be assigned to category from existing pool.</t>
  </si>
  <si>
    <t>**assuming low/high incidence rate bundle per respondent are not important, i.e., OK for E_respondent_yield median and mean to not align (utilize every resp ~equally).</t>
  </si>
  <si>
    <t>bkt1</t>
  </si>
  <si>
    <t>bkt2</t>
  </si>
  <si>
    <t>bkt3</t>
  </si>
  <si>
    <t>test_env_small_scale</t>
  </si>
  <si>
    <t>Therefore, roughly</t>
  </si>
  <si>
    <t>***Key note: To ensure at least 2,400 respondents qualify per category per year, the probabilistic model will require slightly more resps than this "Expected value" figure.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</si>
</sst>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0"/>
      <color rgb="FF000000"/>
      <name val="Tahoma"/>
      <family val="2"/>
    </font>
    <font>
      <i/>
      <sz val="12"/>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1" fontId="0" fillId="0" borderId="0" xfId="0" applyNumberFormat="1"/>
    <xf numFmtId="2" fontId="0" fillId="0" borderId="0" xfId="0" applyNumberFormat="1"/>
    <xf numFmtId="0" fontId="0" fillId="0" borderId="0" xfId="0" applyAlignment="1">
      <alignment horizontal="center"/>
    </xf>
    <xf numFmtId="0" fontId="18" fillId="0" borderId="0" xfId="0" applyFont="1" applyAlignment="1">
      <alignment horizontal="center"/>
    </xf>
    <xf numFmtId="167" fontId="0" fillId="0" borderId="0" xfId="0" applyNumberFormat="1"/>
    <xf numFmtId="0" fontId="18" fillId="0" borderId="0" xfId="0" applyFont="1"/>
    <xf numFmtId="0" fontId="18" fillId="0" borderId="0" xfId="0" applyFont="1" applyAlignment="1">
      <alignment wrapText="1"/>
    </xf>
    <xf numFmtId="0" fontId="0" fillId="0" borderId="0" xfId="0" applyAlignment="1">
      <alignment wrapText="1"/>
    </xf>
    <xf numFmtId="0" fontId="18" fillId="0" borderId="0" xfId="0" applyFont="1" applyAlignment="1"/>
    <xf numFmtId="0" fontId="0" fillId="0" borderId="0" xfId="0" applyAlignment="1"/>
    <xf numFmtId="1" fontId="0" fillId="0" borderId="0" xfId="0" applyNumberFormat="1" applyAlignment="1"/>
    <xf numFmtId="3" fontId="0" fillId="0" borderId="0" xfId="0" applyNumberFormat="1"/>
    <xf numFmtId="1" fontId="18" fillId="33" borderId="0" xfId="0" applyNumberFormat="1" applyFont="1" applyFill="1"/>
    <xf numFmtId="3" fontId="18" fillId="33" borderId="0" xfId="0" applyNumberFormat="1" applyFont="1" applyFill="1"/>
    <xf numFmtId="0" fontId="18" fillId="33"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5" Type="http://purl.oclc.org/ooxml/officeDocument/relationships/theme" Target="theme/theme1.xml"/><Relationship Id="rId4" Type="http://purl.oclc.org/ooxml/officeDocument/relationships/worksheet" Target="worksheets/sheet4.xml"/><Relationship Id="rId9"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a:t>Incidence</a:t>
            </a:r>
            <a:r>
              <a:rPr lang="en-GB" baseline="0%"/>
              <a:t> Rate vs. Category Length (sec)</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scatterChart>
        <c:scatterStyle val="lineMarker"/>
        <c:varyColors val="0"/>
        <c:ser>
          <c:idx val="0"/>
          <c:order val="0"/>
          <c:tx>
            <c:strRef>
              <c:f>fake_category_data!$D$1</c:f>
              <c:strCache>
                <c:ptCount val="1"/>
                <c:pt idx="0">
                  <c:v>category_length_seconds</c:v>
                </c:pt>
              </c:strCache>
            </c:strRef>
          </c:tx>
          <c:spPr>
            <a:ln w="38100" cap="rnd">
              <a:noFill/>
              <a:round/>
            </a:ln>
            <a:effectLst/>
          </c:spPr>
          <c:marker>
            <c:symbol val="circle"/>
            <c:size val="5"/>
            <c:spPr>
              <a:solidFill>
                <a:schemeClr val="accent1"/>
              </a:solidFill>
              <a:ln w="9525">
                <a:solidFill>
                  <a:schemeClr val="accent1"/>
                </a:solidFill>
              </a:ln>
              <a:effectLst/>
            </c:spPr>
          </c:marker>
          <c:xVal>
            <c:numRef>
              <c:f>fake_category_data!$C$2:$C$78</c:f>
              <c:numCache>
                <c:formatCode>0%</c:formatCode>
                <c:ptCount val="77"/>
                <c:pt idx="0">
                  <c:v>0.30492676429999999</c:v>
                </c:pt>
                <c:pt idx="1">
                  <c:v>0.27385892119999999</c:v>
                </c:pt>
                <c:pt idx="2">
                  <c:v>0.3052422031</c:v>
                </c:pt>
                <c:pt idx="3">
                  <c:v>0.5266075388</c:v>
                </c:pt>
                <c:pt idx="4">
                  <c:v>0.19845075619999999</c:v>
                </c:pt>
                <c:pt idx="5">
                  <c:v>0.22675848500000001</c:v>
                </c:pt>
                <c:pt idx="6">
                  <c:v>9.5620842600000006E-2</c:v>
                </c:pt>
                <c:pt idx="7">
                  <c:v>0.76697530859999996</c:v>
                </c:pt>
                <c:pt idx="8">
                  <c:v>0.7879256966</c:v>
                </c:pt>
                <c:pt idx="9">
                  <c:v>0.39451114920000002</c:v>
                </c:pt>
                <c:pt idx="10">
                  <c:v>0.68456375840000006</c:v>
                </c:pt>
                <c:pt idx="11">
                  <c:v>0.57900943400000005</c:v>
                </c:pt>
                <c:pt idx="12">
                  <c:v>0.80307692310000001</c:v>
                </c:pt>
                <c:pt idx="13">
                  <c:v>0.39064976229999998</c:v>
                </c:pt>
                <c:pt idx="14">
                  <c:v>0.4606334842</c:v>
                </c:pt>
                <c:pt idx="15">
                  <c:v>0.42509225090000002</c:v>
                </c:pt>
                <c:pt idx="16">
                  <c:v>0.48529411760000002</c:v>
                </c:pt>
                <c:pt idx="17">
                  <c:v>0.44346289750000001</c:v>
                </c:pt>
                <c:pt idx="18">
                  <c:v>0.290499391</c:v>
                </c:pt>
                <c:pt idx="19">
                  <c:v>0.32120796159999998</c:v>
                </c:pt>
                <c:pt idx="20">
                  <c:v>0.88517441860000001</c:v>
                </c:pt>
                <c:pt idx="21">
                  <c:v>0.62735257209999995</c:v>
                </c:pt>
                <c:pt idx="22">
                  <c:v>0.44103547459999998</c:v>
                </c:pt>
                <c:pt idx="23">
                  <c:v>0.31102850059999998</c:v>
                </c:pt>
                <c:pt idx="24">
                  <c:v>0.5568312285</c:v>
                </c:pt>
                <c:pt idx="25">
                  <c:v>0.2319189971</c:v>
                </c:pt>
                <c:pt idx="26">
                  <c:v>0.41782729810000002</c:v>
                </c:pt>
                <c:pt idx="27">
                  <c:v>0.61726954489999997</c:v>
                </c:pt>
                <c:pt idx="28">
                  <c:v>0.23405323959999999</c:v>
                </c:pt>
                <c:pt idx="29">
                  <c:v>0.27514450870000001</c:v>
                </c:pt>
                <c:pt idx="30">
                  <c:v>0.85913312689999999</c:v>
                </c:pt>
                <c:pt idx="31">
                  <c:v>0.41181165199999997</c:v>
                </c:pt>
                <c:pt idx="32">
                  <c:v>0.251552795</c:v>
                </c:pt>
                <c:pt idx="33">
                  <c:v>0.33433508639999998</c:v>
                </c:pt>
                <c:pt idx="34">
                  <c:v>0.1910958904</c:v>
                </c:pt>
                <c:pt idx="35">
                  <c:v>0.42563143120000002</c:v>
                </c:pt>
                <c:pt idx="36">
                  <c:v>0.50096899220000002</c:v>
                </c:pt>
                <c:pt idx="37">
                  <c:v>0.61082474229999995</c:v>
                </c:pt>
                <c:pt idx="38">
                  <c:v>0.31275720159999998</c:v>
                </c:pt>
                <c:pt idx="39">
                  <c:v>0.39729299359999998</c:v>
                </c:pt>
                <c:pt idx="40">
                  <c:v>0.36319104270000002</c:v>
                </c:pt>
                <c:pt idx="41">
                  <c:v>0.74846625769999997</c:v>
                </c:pt>
                <c:pt idx="42">
                  <c:v>0.63925729440000001</c:v>
                </c:pt>
                <c:pt idx="43">
                  <c:v>0.48590864919999999</c:v>
                </c:pt>
                <c:pt idx="44">
                  <c:v>0.73722627740000002</c:v>
                </c:pt>
                <c:pt idx="45">
                  <c:v>0.84946236559999999</c:v>
                </c:pt>
                <c:pt idx="46">
                  <c:v>0.69139465879999995</c:v>
                </c:pt>
                <c:pt idx="47">
                  <c:v>0.4311926606</c:v>
                </c:pt>
                <c:pt idx="48">
                  <c:v>0.53409090910000001</c:v>
                </c:pt>
                <c:pt idx="49">
                  <c:v>0.3503546099</c:v>
                </c:pt>
                <c:pt idx="50">
                  <c:v>0.30193387399999999</c:v>
                </c:pt>
                <c:pt idx="51">
                  <c:v>0.40109389239999998</c:v>
                </c:pt>
                <c:pt idx="52">
                  <c:v>0.31307420489999999</c:v>
                </c:pt>
                <c:pt idx="53">
                  <c:v>0.79943502820000001</c:v>
                </c:pt>
                <c:pt idx="54">
                  <c:v>0.3270072993</c:v>
                </c:pt>
                <c:pt idx="55">
                  <c:v>0.73088685019999999</c:v>
                </c:pt>
                <c:pt idx="56">
                  <c:v>0.79046242769999997</c:v>
                </c:pt>
                <c:pt idx="57">
                  <c:v>0.7124277457</c:v>
                </c:pt>
                <c:pt idx="58">
                  <c:v>0.57158962800000002</c:v>
                </c:pt>
                <c:pt idx="59">
                  <c:v>0.61199095020000005</c:v>
                </c:pt>
                <c:pt idx="60">
                  <c:v>0.30897832819999999</c:v>
                </c:pt>
                <c:pt idx="61">
                  <c:v>0.13123147399999999</c:v>
                </c:pt>
                <c:pt idx="62">
                  <c:v>0.79129129129999998</c:v>
                </c:pt>
                <c:pt idx="63">
                  <c:v>0.49788135589999999</c:v>
                </c:pt>
                <c:pt idx="64">
                  <c:v>0.30846394980000003</c:v>
                </c:pt>
                <c:pt idx="65">
                  <c:v>0.26953567379999999</c:v>
                </c:pt>
                <c:pt idx="66">
                  <c:v>0.18813263529999999</c:v>
                </c:pt>
                <c:pt idx="67">
                  <c:v>0.375</c:v>
                </c:pt>
                <c:pt idx="68">
                  <c:v>0.24171122989999999</c:v>
                </c:pt>
                <c:pt idx="69">
                  <c:v>0.32042723629999997</c:v>
                </c:pt>
                <c:pt idx="70">
                  <c:v>0.41102941180000002</c:v>
                </c:pt>
                <c:pt idx="71">
                  <c:v>0.67517401389999998</c:v>
                </c:pt>
                <c:pt idx="72">
                  <c:v>0.84878744650000004</c:v>
                </c:pt>
                <c:pt idx="73">
                  <c:v>0.5715922108</c:v>
                </c:pt>
                <c:pt idx="74">
                  <c:v>0.24466423740000001</c:v>
                </c:pt>
                <c:pt idx="75">
                  <c:v>0.49395348839999997</c:v>
                </c:pt>
                <c:pt idx="76">
                  <c:v>0.41253507950000001</c:v>
                </c:pt>
              </c:numCache>
            </c:numRef>
          </c:xVal>
          <c:yVal>
            <c:numRef>
              <c:f>fake_category_data!$D$2:$D$78</c:f>
              <c:numCache>
                <c:formatCode>0.00</c:formatCode>
                <c:ptCount val="77"/>
                <c:pt idx="0">
                  <c:v>178.785914224572</c:v>
                </c:pt>
                <c:pt idx="1">
                  <c:v>171.70129029080201</c:v>
                </c:pt>
                <c:pt idx="2">
                  <c:v>170.205784665886</c:v>
                </c:pt>
                <c:pt idx="3">
                  <c:v>166.93138863891301</c:v>
                </c:pt>
                <c:pt idx="4">
                  <c:v>166.23116849921601</c:v>
                </c:pt>
                <c:pt idx="5">
                  <c:v>164.75845274515399</c:v>
                </c:pt>
                <c:pt idx="6">
                  <c:v>164.504580020438</c:v>
                </c:pt>
                <c:pt idx="7">
                  <c:v>163.829750376753</c:v>
                </c:pt>
                <c:pt idx="8">
                  <c:v>161.298199505545</c:v>
                </c:pt>
                <c:pt idx="9">
                  <c:v>160.45362685807001</c:v>
                </c:pt>
                <c:pt idx="10">
                  <c:v>159.65092059457601</c:v>
                </c:pt>
                <c:pt idx="11">
                  <c:v>159.18142152484501</c:v>
                </c:pt>
                <c:pt idx="12">
                  <c:v>155.91605252819099</c:v>
                </c:pt>
                <c:pt idx="13">
                  <c:v>154.105997791048</c:v>
                </c:pt>
                <c:pt idx="14">
                  <c:v>153.14194411737799</c:v>
                </c:pt>
                <c:pt idx="15">
                  <c:v>149.13597910897801</c:v>
                </c:pt>
                <c:pt idx="16">
                  <c:v>148.403434753417</c:v>
                </c:pt>
                <c:pt idx="17">
                  <c:v>147.439914343412</c:v>
                </c:pt>
                <c:pt idx="18">
                  <c:v>146.616783197969</c:v>
                </c:pt>
                <c:pt idx="19">
                  <c:v>145.476212999783</c:v>
                </c:pt>
                <c:pt idx="20">
                  <c:v>144.94660059688599</c:v>
                </c:pt>
                <c:pt idx="21">
                  <c:v>139.84706080052999</c:v>
                </c:pt>
                <c:pt idx="22">
                  <c:v>138.556641906034</c:v>
                </c:pt>
                <c:pt idx="23">
                  <c:v>137.64277623966299</c:v>
                </c:pt>
                <c:pt idx="24">
                  <c:v>133.909733472391</c:v>
                </c:pt>
                <c:pt idx="25">
                  <c:v>133.05342699866699</c:v>
                </c:pt>
                <c:pt idx="26">
                  <c:v>130.270010728854</c:v>
                </c:pt>
                <c:pt idx="27">
                  <c:v>129.30076146265401</c:v>
                </c:pt>
                <c:pt idx="28">
                  <c:v>129.119668873026</c:v>
                </c:pt>
                <c:pt idx="29">
                  <c:v>127.75106491288101</c:v>
                </c:pt>
                <c:pt idx="30">
                  <c:v>127.63057006057301</c:v>
                </c:pt>
                <c:pt idx="31">
                  <c:v>127.059029072988</c:v>
                </c:pt>
                <c:pt idx="32">
                  <c:v>124.367106584832</c:v>
                </c:pt>
                <c:pt idx="33">
                  <c:v>119.93487381376301</c:v>
                </c:pt>
                <c:pt idx="34">
                  <c:v>115.92800450278401</c:v>
                </c:pt>
                <c:pt idx="35">
                  <c:v>112.9554467462</c:v>
                </c:pt>
                <c:pt idx="36">
                  <c:v>109.45793702965599</c:v>
                </c:pt>
                <c:pt idx="37">
                  <c:v>107.79513947898501</c:v>
                </c:pt>
                <c:pt idx="38">
                  <c:v>104.654886312782</c:v>
                </c:pt>
                <c:pt idx="39">
                  <c:v>104.03119605733001</c:v>
                </c:pt>
                <c:pt idx="40">
                  <c:v>102.312017320655</c:v>
                </c:pt>
                <c:pt idx="41">
                  <c:v>101.781787241343</c:v>
                </c:pt>
                <c:pt idx="42">
                  <c:v>101.64294332033001</c:v>
                </c:pt>
                <c:pt idx="43">
                  <c:v>101.58450975548401</c:v>
                </c:pt>
                <c:pt idx="44">
                  <c:v>101.45268676104</c:v>
                </c:pt>
                <c:pt idx="45">
                  <c:v>98.859858938958496</c:v>
                </c:pt>
                <c:pt idx="46">
                  <c:v>95.714566083624902</c:v>
                </c:pt>
                <c:pt idx="47">
                  <c:v>91.691164446529001</c:v>
                </c:pt>
                <c:pt idx="48">
                  <c:v>91.024528078269199</c:v>
                </c:pt>
                <c:pt idx="49">
                  <c:v>87.917113881558095</c:v>
                </c:pt>
                <c:pt idx="50">
                  <c:v>87.615557732060495</c:v>
                </c:pt>
                <c:pt idx="51">
                  <c:v>87.358193560503395</c:v>
                </c:pt>
                <c:pt idx="52">
                  <c:v>87.005276915151597</c:v>
                </c:pt>
                <c:pt idx="53">
                  <c:v>82.002523373812394</c:v>
                </c:pt>
                <c:pt idx="54">
                  <c:v>81.052349503152001</c:v>
                </c:pt>
                <c:pt idx="55">
                  <c:v>80.860940676648099</c:v>
                </c:pt>
                <c:pt idx="56">
                  <c:v>80.066239619627595</c:v>
                </c:pt>
                <c:pt idx="57">
                  <c:v>79.859201128128902</c:v>
                </c:pt>
                <c:pt idx="58">
                  <c:v>77.440756077412502</c:v>
                </c:pt>
                <c:pt idx="59">
                  <c:v>74.040505914017501</c:v>
                </c:pt>
                <c:pt idx="60">
                  <c:v>70.083100309129804</c:v>
                </c:pt>
                <c:pt idx="61">
                  <c:v>69.826299471314996</c:v>
                </c:pt>
                <c:pt idx="62">
                  <c:v>68.702517107594701</c:v>
                </c:pt>
                <c:pt idx="63">
                  <c:v>66.719591554719898</c:v>
                </c:pt>
                <c:pt idx="64">
                  <c:v>61.821378192398697</c:v>
                </c:pt>
                <c:pt idx="65">
                  <c:v>60.896186234895097</c:v>
                </c:pt>
                <c:pt idx="66">
                  <c:v>60.252289655618299</c:v>
                </c:pt>
                <c:pt idx="67">
                  <c:v>57.932640211656597</c:v>
                </c:pt>
                <c:pt idx="68">
                  <c:v>56.483512879349199</c:v>
                </c:pt>
                <c:pt idx="69">
                  <c:v>48.833264394197599</c:v>
                </c:pt>
                <c:pt idx="70">
                  <c:v>46.191543883178298</c:v>
                </c:pt>
                <c:pt idx="71">
                  <c:v>44.919924025889401</c:v>
                </c:pt>
                <c:pt idx="72">
                  <c:v>42.637037155218401</c:v>
                </c:pt>
                <c:pt idx="73">
                  <c:v>40.601857071742401</c:v>
                </c:pt>
                <c:pt idx="74">
                  <c:v>39.267940570134598</c:v>
                </c:pt>
                <c:pt idx="75">
                  <c:v>33.4996803500689</c:v>
                </c:pt>
                <c:pt idx="76">
                  <c:v>32.008549973834299</c:v>
                </c:pt>
              </c:numCache>
            </c:numRef>
          </c:yVal>
          <c:smooth val="0"/>
          <c:extLst>
            <c:ext xmlns:c16="http://schemas.microsoft.com/office/drawing/2014/chart" uri="{C3380CC4-5D6E-409C-BE32-E72D297353CC}">
              <c16:uniqueId val="{00000000-BB32-8C47-99B8-AFCE31174BB2}"/>
            </c:ext>
          </c:extLst>
        </c:ser>
        <c:dLbls>
          <c:showLegendKey val="0"/>
          <c:showVal val="0"/>
          <c:showCatName val="0"/>
          <c:showSerName val="0"/>
          <c:showPercent val="0"/>
          <c:showBubbleSize val="0"/>
        </c:dLbls>
        <c:axId val="238851999"/>
        <c:axId val="1738477680"/>
      </c:scatterChart>
      <c:valAx>
        <c:axId val="238851999"/>
        <c:scaling>
          <c:orientation val="minMax"/>
        </c:scaling>
        <c:delete val="0"/>
        <c:axPos val="b"/>
        <c:majorGridlines>
          <c:spPr>
            <a:ln w="9525" cap="flat" cmpd="sng" algn="ctr">
              <a:solidFill>
                <a:schemeClr val="tx1">
                  <a:lumMod val="15%"/>
                  <a:lumOff val="85%"/>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GB"/>
                  <a:t>Incidence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738477680"/>
        <c:crosses val="autoZero"/>
        <c:crossBetween val="midCat"/>
      </c:valAx>
      <c:valAx>
        <c:axId val="1738477680"/>
        <c:scaling>
          <c:orientation val="minMax"/>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GB"/>
                  <a:t>Category length (sec)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38851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40">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spPr>
      <a:ln w="9525" cap="flat" cmpd="sng" algn="ctr">
        <a:solidFill>
          <a:schemeClr val="tx1">
            <a:lumMod val="25%"/>
            <a:lumOff val="75%"/>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xdr:from>
      <xdr:col>6</xdr:col>
      <xdr:colOff>596900</xdr:colOff>
      <xdr:row>2</xdr:row>
      <xdr:rowOff>139700</xdr:rowOff>
    </xdr:from>
    <xdr:to>
      <xdr:col>13</xdr:col>
      <xdr:colOff>203200</xdr:colOff>
      <xdr:row>21</xdr:row>
      <xdr:rowOff>177800</xdr:rowOff>
    </xdr:to>
    <xdr:graphicFrame macro="">
      <xdr:nvGraphicFramePr>
        <xdr:cNvPr id="2" name="Chart 1">
          <a:extLst>
            <a:ext uri="{FF2B5EF4-FFF2-40B4-BE49-F238E27FC236}">
              <a16:creationId xmlns:a16="http://schemas.microsoft.com/office/drawing/2014/main" id="{CC2E06FC-D82B-DCAE-5537-C5D9FB617AA6}"/>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2.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14</xdr:col>
          <xdr:colOff>190500</xdr:colOff>
          <xdr:row>1</xdr:row>
          <xdr:rowOff>25400</xdr:rowOff>
        </xdr:from>
        <xdr:to>
          <xdr:col>15</xdr:col>
          <xdr:colOff>0</xdr:colOff>
          <xdr:row>5</xdr:row>
          <xdr:rowOff>101600</xdr:rowOff>
        </xdr:to>
        <xdr:sp macro="" textlink="">
          <xdr:nvSpPr>
            <xdr:cNvPr id="2049" name="Comment 1" hidden="1">
              <a:extLst>
                <a:ext uri="{FF2B5EF4-FFF2-40B4-BE49-F238E27FC236}">
                  <a16:creationId xmlns:a16="http://schemas.microsoft.com/office/drawing/2014/main" id="{57703652-1D6D-23F1-CFDA-FC3CBC6BD3F0}"/>
                </a:ext>
              </a:extLst>
            </xdr:cNvPr>
            <xdr:cNvSpPr txBox="1">
              <a:spLocks noChangeArrowheads="1"/>
            </xdr:cNvSpPr>
          </xdr:nvSpPr>
          <xdr:spPr bwMode="auto">
            <a:xfrm>
              <a:off x="13792200" y="228600"/>
              <a:ext cx="762000" cy="8890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xdr:wsDr>
</file>

<file path=xl/drawings/drawing3.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15</xdr:col>
          <xdr:colOff>190500</xdr:colOff>
          <xdr:row>0</xdr:row>
          <xdr:rowOff>76200</xdr:rowOff>
        </xdr:from>
        <xdr:to>
          <xdr:col>16</xdr:col>
          <xdr:colOff>0</xdr:colOff>
          <xdr:row>4</xdr:row>
          <xdr:rowOff>165100</xdr:rowOff>
        </xdr:to>
        <xdr:sp macro="" textlink="">
          <xdr:nvSpPr>
            <xdr:cNvPr id="4097" name="Comment 1" hidden="1">
              <a:extLst>
                <a:ext uri="{FF2B5EF4-FFF2-40B4-BE49-F238E27FC236}">
                  <a16:creationId xmlns:a16="http://schemas.microsoft.com/office/drawing/2014/main" id="{0807FFF2-0943-658D-71A9-5BC9943B9FA4}"/>
                </a:ext>
              </a:extLst>
            </xdr:cNvPr>
            <xdr:cNvSpPr txBox="1">
              <a:spLocks noChangeArrowheads="1"/>
            </xdr:cNvSpPr>
          </xdr:nvSpPr>
          <xdr:spPr bwMode="auto">
            <a:xfrm>
              <a:off x="14808200" y="76200"/>
              <a:ext cx="762000" cy="9017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xdr:wsDr>
</file>

<file path=xl/persons/person.xml><?xml version="1.0" encoding="utf-8"?>
<personList xmlns="http://schemas.microsoft.com/office/spreadsheetml/2018/threadedcomments" xmlns:x="http://purl.oclc.org/ooxml/spreadsheetml/main">
  <person displayName="George Luther" id="{AF9FB737-DAA8-4843-B481-C298346FB15F}" userId="97146ea0ab11c978" providerId="Windows Live"/>
</personList>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purl.oclc.org/ooxml/spreadsheetml/main">
  <threadedComment ref="N2" dT="2026-05-12T02:42:42.63" personId="{AF9FB737-DAA8-4843-B481-C298346FB15F}" id="{C14C8890-13B9-2044-9AFC-20A2A3E38CD7}">
    <text>expected_respondents_required</text>
  </threadedComment>
</ThreadedComments>
</file>

<file path=xl/threadedComments/threadedComment2.xml><?xml version="1.0" encoding="utf-8"?>
<ThreadedComments xmlns="http://schemas.microsoft.com/office/spreadsheetml/2018/threadedcomments" xmlns:x="http://purl.oclc.org/ooxml/spreadsheetml/main">
  <threadedComment ref="O2" dT="2026-05-12T02:42:42.63" personId="{AF9FB737-DAA8-4843-B481-C298346FB15F}" id="{F326C9DB-B8A2-754D-8C05-3A101DA3E60A}">
    <text>expected_respondents_required</text>
  </threadedComment>
</ThreadedComments>
</file>

<file path=xl/worksheets/_rels/sheet1.xml.rels><?xml version="1.0" encoding="UTF-8" standalone="yes"?>
<Relationships xmlns="http://schemas.openxmlformats.org/package/2006/relationships"><Relationship Id="rId1" Type="http://purl.oclc.org/ooxml/officeDocument/relationships/drawing" Target="../drawings/drawing1.xml"/></Relationships>
</file>

<file path=xl/worksheets/_rels/sheet2.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purl.oclc.org/ooxml/officeDocument/relationships/comments" Target="../comments2.xml"/><Relationship Id="rId2" Type="http://schemas.openxmlformats.org/officeDocument/2006/relationships/vmlDrawing" Target="../drawings/vmlDrawing2.vml"/><Relationship Id="rId1" Type="http://purl.oclc.org/ooxml/officeDocument/relationships/drawing" Target="../drawings/drawing3.xml"/><Relationship Id="rId4" Type="http://schemas.microsoft.com/office/2017/10/relationships/threadedComment" Target="../threadedComments/threadedComment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A0A5-6659-2943-9A5A-F8F9461AEF18}">
  <dimension ref="A1:F78"/>
  <sheetViews>
    <sheetView workbookViewId="0">
      <selection activeCell="D2" sqref="D2"/>
    </sheetView>
  </sheetViews>
  <sheetFormatPr baseColWidth="10" defaultRowHeight="16" x14ac:dyDescent="0.2"/>
  <cols>
    <col min="1" max="1" width="11.83203125" customWidth="1"/>
    <col min="2" max="2" width="35.1640625" bestFit="1" customWidth="1"/>
    <col min="3" max="3" width="13.33203125" style="1" bestFit="1" customWidth="1"/>
    <col min="4" max="4" width="21.83203125" style="3" customWidth="1"/>
    <col min="5" max="5" width="14.1640625" hidden="1" customWidth="1"/>
    <col min="6" max="6" width="8" hidden="1" customWidth="1"/>
  </cols>
  <sheetData>
    <row r="1" spans="1:6" x14ac:dyDescent="0.2">
      <c r="A1" t="s">
        <v>0</v>
      </c>
      <c r="B1" t="s">
        <v>1</v>
      </c>
      <c r="C1" s="1" t="s">
        <v>2</v>
      </c>
      <c r="D1" s="3" t="s">
        <v>3</v>
      </c>
      <c r="E1" t="s">
        <v>81</v>
      </c>
      <c r="F1" t="s">
        <v>96</v>
      </c>
    </row>
    <row r="2" spans="1:6" x14ac:dyDescent="0.2">
      <c r="A2">
        <v>19</v>
      </c>
      <c r="B2" t="s">
        <v>21</v>
      </c>
      <c r="C2" s="1">
        <v>0.30492676429999999</v>
      </c>
      <c r="D2" s="3">
        <v>178.785914224572</v>
      </c>
      <c r="E2" t="str">
        <f>IF(C2&lt;0.1, "&lt;10%", IF(C2&lt;=0.2, "10-20%", IF(C2&lt;=0.3, "20-30%", IF(C2&lt;=0.4, "30-40%", IF(C2&lt;=0.5, "40-50%", IF(C2&lt;=0.6, "50-60%", IF(C2&lt;=0.7, "60-70%", IF(C2&lt;=0.8, "70-80%", IF(C2&lt;=0.9, "80-90%", "&gt;90%")))))))))</f>
        <v>30-40%</v>
      </c>
      <c r="F2" t="str">
        <f>IF(D2&lt;25, "&lt;25s", IF(D2&lt;=49, "25-49s", IF(D2&lt;=74, "50-74s", IF(D2&lt;=99, "75-99s", IF(D2&lt;=124, "100-124s", IF(D2&lt;=149, "125-149s", "150s+"))))))</f>
        <v>150s+</v>
      </c>
    </row>
    <row r="3" spans="1:6" x14ac:dyDescent="0.2">
      <c r="A3">
        <v>8</v>
      </c>
      <c r="B3" t="s">
        <v>10</v>
      </c>
      <c r="C3" s="1">
        <v>0.27385892119999999</v>
      </c>
      <c r="D3" s="3">
        <v>171.70129029080201</v>
      </c>
      <c r="E3" t="str">
        <f>IF(C3&lt;0.1, "&lt;10%", IF(C3&lt;=0.2, "10-20%", IF(C3&lt;=0.3, "20-30%", IF(C3&lt;=0.4, "30-40%", IF(C3&lt;=0.5, "40-50%", IF(C3&lt;=0.6, "50-60%", IF(C3&lt;=0.7, "60-70%", IF(C3&lt;=0.8, "70-80%", IF(C3&lt;=0.9, "80-90%", "&gt;90%")))))))))</f>
        <v>20-30%</v>
      </c>
      <c r="F3" t="str">
        <f>IF(D3&lt;25, "&lt;25s", IF(D3&lt;=49, "25-49s", IF(D3&lt;=74, "50-74s", IF(D3&lt;=99, "75-99s", IF(D3&lt;=124, "100-124s", IF(D3&lt;=149, "125-149s", "150s+"))))))</f>
        <v>150s+</v>
      </c>
    </row>
    <row r="4" spans="1:6" x14ac:dyDescent="0.2">
      <c r="A4">
        <v>22</v>
      </c>
      <c r="B4" t="s">
        <v>24</v>
      </c>
      <c r="C4" s="1">
        <v>0.3052422031</v>
      </c>
      <c r="D4" s="3">
        <v>170.205784665886</v>
      </c>
      <c r="E4" t="str">
        <f>IF(C4&lt;0.1, "&lt;10%", IF(C4&lt;=0.2, "10-20%", IF(C4&lt;=0.3, "20-30%", IF(C4&lt;=0.4, "30-40%", IF(C4&lt;=0.5, "40-50%", IF(C4&lt;=0.6, "50-60%", IF(C4&lt;=0.7, "60-70%", IF(C4&lt;=0.8, "70-80%", IF(C4&lt;=0.9, "80-90%", "&gt;90%")))))))))</f>
        <v>30-40%</v>
      </c>
      <c r="F4" t="str">
        <f>IF(D4&lt;25, "&lt;25s", IF(D4&lt;=49, "25-49s", IF(D4&lt;=74, "50-74s", IF(D4&lt;=99, "75-99s", IF(D4&lt;=124, "100-124s", IF(D4&lt;=149, "125-149s", "150s+"))))))</f>
        <v>150s+</v>
      </c>
    </row>
    <row r="5" spans="1:6" x14ac:dyDescent="0.2">
      <c r="A5">
        <v>62</v>
      </c>
      <c r="B5" t="s">
        <v>64</v>
      </c>
      <c r="C5" s="1">
        <v>0.5266075388</v>
      </c>
      <c r="D5" s="3">
        <v>166.93138863891301</v>
      </c>
      <c r="E5" t="str">
        <f>IF(C5&lt;0.1, "&lt;10%", IF(C5&lt;=0.2, "10-20%", IF(C5&lt;=0.3, "20-30%", IF(C5&lt;=0.4, "30-40%", IF(C5&lt;=0.5, "40-50%", IF(C5&lt;=0.6, "50-60%", IF(C5&lt;=0.7, "60-70%", IF(C5&lt;=0.8, "70-80%", IF(C5&lt;=0.9, "80-90%", "&gt;90%")))))))))</f>
        <v>50-60%</v>
      </c>
      <c r="F5" t="str">
        <f>IF(D5&lt;25, "&lt;25s", IF(D5&lt;=49, "25-49s", IF(D5&lt;=74, "50-74s", IF(D5&lt;=99, "75-99s", IF(D5&lt;=124, "100-124s", IF(D5&lt;=149, "125-149s", "150s+"))))))</f>
        <v>150s+</v>
      </c>
    </row>
    <row r="6" spans="1:6" x14ac:dyDescent="0.2">
      <c r="A6">
        <v>5</v>
      </c>
      <c r="B6" t="s">
        <v>7</v>
      </c>
      <c r="C6" s="1">
        <v>0.19845075619999999</v>
      </c>
      <c r="D6" s="3">
        <v>166.23116849921601</v>
      </c>
      <c r="E6" t="str">
        <f>IF(C6&lt;0.1, "&lt;10%", IF(C6&lt;=0.2, "10-20%", IF(C6&lt;=0.3, "20-30%", IF(C6&lt;=0.4, "30-40%", IF(C6&lt;=0.5, "40-50%", IF(C6&lt;=0.6, "50-60%", IF(C6&lt;=0.7, "60-70%", IF(C6&lt;=0.8, "70-80%", IF(C6&lt;=0.9, "80-90%", "&gt;90%")))))))))</f>
        <v>10-20%</v>
      </c>
      <c r="F6" t="str">
        <f>IF(D6&lt;25, "&lt;25s", IF(D6&lt;=49, "25-49s", IF(D6&lt;=74, "50-74s", IF(D6&lt;=99, "75-99s", IF(D6&lt;=124, "100-124s", IF(D6&lt;=149, "125-149s", "150s+"))))))</f>
        <v>150s+</v>
      </c>
    </row>
    <row r="7" spans="1:6" x14ac:dyDescent="0.2">
      <c r="A7">
        <v>7</v>
      </c>
      <c r="B7" t="s">
        <v>9</v>
      </c>
      <c r="C7" s="1">
        <v>0.22675848500000001</v>
      </c>
      <c r="D7" s="3">
        <v>164.75845274515399</v>
      </c>
      <c r="E7" t="str">
        <f>IF(C7&lt;0.1, "&lt;10%", IF(C7&lt;=0.2, "10-20%", IF(C7&lt;=0.3, "20-30%", IF(C7&lt;=0.4, "30-40%", IF(C7&lt;=0.5, "40-50%", IF(C7&lt;=0.6, "50-60%", IF(C7&lt;=0.7, "60-70%", IF(C7&lt;=0.8, "70-80%", IF(C7&lt;=0.9, "80-90%", "&gt;90%")))))))))</f>
        <v>20-30%</v>
      </c>
      <c r="F7" t="str">
        <f>IF(D7&lt;25, "&lt;25s", IF(D7&lt;=49, "25-49s", IF(D7&lt;=74, "50-74s", IF(D7&lt;=99, "75-99s", IF(D7&lt;=124, "100-124s", IF(D7&lt;=149, "125-149s", "150s+"))))))</f>
        <v>150s+</v>
      </c>
    </row>
    <row r="8" spans="1:6" x14ac:dyDescent="0.2">
      <c r="A8">
        <v>1</v>
      </c>
      <c r="B8" t="s">
        <v>4</v>
      </c>
      <c r="C8" s="1">
        <v>9.5620842600000006E-2</v>
      </c>
      <c r="D8" s="3">
        <v>164.504580020438</v>
      </c>
      <c r="E8" t="str">
        <f>IF(C8&lt;0.1, "&lt;10%", IF(C8&lt;=0.2, "10-20%", IF(C8&lt;=0.3, "20-30%", IF(C8&lt;=0.4, "30-40%", IF(C8&lt;=0.5, "40-50%", IF(C8&lt;=0.6, "50-60%", IF(C8&lt;=0.7, "60-70%", IF(C8&lt;=0.8, "70-80%", IF(C8&lt;=0.9, "80-90%", "&gt;90%")))))))))</f>
        <v>&lt;10%</v>
      </c>
      <c r="F8" t="str">
        <f>IF(D8&lt;25, "&lt;25s", IF(D8&lt;=49, "25-49s", IF(D8&lt;=74, "50-74s", IF(D8&lt;=99, "75-99s", IF(D8&lt;=124, "100-124s", IF(D8&lt;=149, "125-149s", "150s+"))))))</f>
        <v>150s+</v>
      </c>
    </row>
    <row r="9" spans="1:6" x14ac:dyDescent="0.2">
      <c r="A9">
        <v>77</v>
      </c>
      <c r="B9" t="s">
        <v>79</v>
      </c>
      <c r="C9" s="1">
        <v>0.76697530859999996</v>
      </c>
      <c r="D9" s="3">
        <v>163.829750376753</v>
      </c>
      <c r="E9" t="str">
        <f>IF(C9&lt;0.1, "&lt;10%", IF(C9&lt;=0.2, "10-20%", IF(C9&lt;=0.3, "20-30%", IF(C9&lt;=0.4, "30-40%", IF(C9&lt;=0.5, "40-50%", IF(C9&lt;=0.6, "50-60%", IF(C9&lt;=0.7, "60-70%", IF(C9&lt;=0.8, "70-80%", IF(C9&lt;=0.9, "80-90%", "&gt;90%")))))))))</f>
        <v>70-80%</v>
      </c>
      <c r="F9" t="str">
        <f>IF(D9&lt;25, "&lt;25s", IF(D9&lt;=49, "25-49s", IF(D9&lt;=74, "50-74s", IF(D9&lt;=99, "75-99s", IF(D9&lt;=124, "100-124s", IF(D9&lt;=149, "125-149s", "150s+"))))))</f>
        <v>150s+</v>
      </c>
    </row>
    <row r="10" spans="1:6" x14ac:dyDescent="0.2">
      <c r="A10">
        <v>71</v>
      </c>
      <c r="B10" t="s">
        <v>73</v>
      </c>
      <c r="C10" s="1">
        <v>0.7879256966</v>
      </c>
      <c r="D10" s="3">
        <v>161.298199505545</v>
      </c>
      <c r="E10" t="str">
        <f>IF(C10&lt;0.1, "&lt;10%", IF(C10&lt;=0.2, "10-20%", IF(C10&lt;=0.3, "20-30%", IF(C10&lt;=0.4, "30-40%", IF(C10&lt;=0.5, "40-50%", IF(C10&lt;=0.6, "50-60%", IF(C10&lt;=0.7, "60-70%", IF(C10&lt;=0.8, "70-80%", IF(C10&lt;=0.9, "80-90%", "&gt;90%")))))))))</f>
        <v>70-80%</v>
      </c>
      <c r="F10" t="str">
        <f>IF(D10&lt;25, "&lt;25s", IF(D10&lt;=49, "25-49s", IF(D10&lt;=74, "50-74s", IF(D10&lt;=99, "75-99s", IF(D10&lt;=124, "100-124s", IF(D10&lt;=149, "125-149s", "150s+"))))))</f>
        <v>150s+</v>
      </c>
    </row>
    <row r="11" spans="1:6" x14ac:dyDescent="0.2">
      <c r="A11">
        <v>30</v>
      </c>
      <c r="B11" t="s">
        <v>32</v>
      </c>
      <c r="C11" s="1">
        <v>0.39451114920000002</v>
      </c>
      <c r="D11" s="3">
        <v>160.45362685807001</v>
      </c>
      <c r="E11" t="str">
        <f>IF(C11&lt;0.1, "&lt;10%", IF(C11&lt;=0.2, "10-20%", IF(C11&lt;=0.3, "20-30%", IF(C11&lt;=0.4, "30-40%", IF(C11&lt;=0.5, "40-50%", IF(C11&lt;=0.6, "50-60%", IF(C11&lt;=0.7, "60-70%", IF(C11&lt;=0.8, "70-80%", IF(C11&lt;=0.9, "80-90%", "&gt;90%")))))))))</f>
        <v>30-40%</v>
      </c>
      <c r="F11" t="str">
        <f>IF(D11&lt;25, "&lt;25s", IF(D11&lt;=49, "25-49s", IF(D11&lt;=74, "50-74s", IF(D11&lt;=99, "75-99s", IF(D11&lt;=124, "100-124s", IF(D11&lt;=149, "125-149s", "150s+"))))))</f>
        <v>150s+</v>
      </c>
    </row>
    <row r="12" spans="1:6" x14ac:dyDescent="0.2">
      <c r="A12">
        <v>78</v>
      </c>
      <c r="B12" t="s">
        <v>80</v>
      </c>
      <c r="C12" s="1">
        <v>0.68456375840000006</v>
      </c>
      <c r="D12" s="3">
        <v>159.65092059457601</v>
      </c>
      <c r="E12" t="str">
        <f>IF(C12&lt;0.1, "&lt;10%", IF(C12&lt;=0.2, "10-20%", IF(C12&lt;=0.3, "20-30%", IF(C12&lt;=0.4, "30-40%", IF(C12&lt;=0.5, "40-50%", IF(C12&lt;=0.6, "50-60%", IF(C12&lt;=0.7, "60-70%", IF(C12&lt;=0.8, "70-80%", IF(C12&lt;=0.9, "80-90%", "&gt;90%")))))))))</f>
        <v>60-70%</v>
      </c>
      <c r="F12" t="str">
        <f>IF(D12&lt;25, "&lt;25s", IF(D12&lt;=49, "25-49s", IF(D12&lt;=74, "50-74s", IF(D12&lt;=99, "75-99s", IF(D12&lt;=124, "100-124s", IF(D12&lt;=149, "125-149s", "150s+"))))))</f>
        <v>150s+</v>
      </c>
    </row>
    <row r="13" spans="1:6" x14ac:dyDescent="0.2">
      <c r="A13">
        <v>53</v>
      </c>
      <c r="B13" t="s">
        <v>55</v>
      </c>
      <c r="C13" s="1">
        <v>0.57900943400000005</v>
      </c>
      <c r="D13" s="3">
        <v>159.18142152484501</v>
      </c>
      <c r="E13" t="str">
        <f>IF(C13&lt;0.1, "&lt;10%", IF(C13&lt;=0.2, "10-20%", IF(C13&lt;=0.3, "20-30%", IF(C13&lt;=0.4, "30-40%", IF(C13&lt;=0.5, "40-50%", IF(C13&lt;=0.6, "50-60%", IF(C13&lt;=0.7, "60-70%", IF(C13&lt;=0.8, "70-80%", IF(C13&lt;=0.9, "80-90%", "&gt;90%")))))))))</f>
        <v>50-60%</v>
      </c>
      <c r="F13" t="str">
        <f>IF(D13&lt;25, "&lt;25s", IF(D13&lt;=49, "25-49s", IF(D13&lt;=74, "50-74s", IF(D13&lt;=99, "75-99s", IF(D13&lt;=124, "100-124s", IF(D13&lt;=149, "125-149s", "150s+"))))))</f>
        <v>150s+</v>
      </c>
    </row>
    <row r="14" spans="1:6" x14ac:dyDescent="0.2">
      <c r="A14">
        <v>73</v>
      </c>
      <c r="B14" t="s">
        <v>75</v>
      </c>
      <c r="C14" s="1">
        <v>0.80307692310000001</v>
      </c>
      <c r="D14" s="3">
        <v>155.91605252819099</v>
      </c>
      <c r="E14" t="str">
        <f>IF(C14&lt;0.1, "&lt;10%", IF(C14&lt;=0.2, "10-20%", IF(C14&lt;=0.3, "20-30%", IF(C14&lt;=0.4, "30-40%", IF(C14&lt;=0.5, "40-50%", IF(C14&lt;=0.6, "50-60%", IF(C14&lt;=0.7, "60-70%", IF(C14&lt;=0.8, "70-80%", IF(C14&lt;=0.9, "80-90%", "&gt;90%")))))))))</f>
        <v>80-90%</v>
      </c>
      <c r="F14" t="str">
        <f>IF(D14&lt;25, "&lt;25s", IF(D14&lt;=49, "25-49s", IF(D14&lt;=74, "50-74s", IF(D14&lt;=99, "75-99s", IF(D14&lt;=124, "100-124s", IF(D14&lt;=149, "125-149s", "150s+"))))))</f>
        <v>150s+</v>
      </c>
    </row>
    <row r="15" spans="1:6" x14ac:dyDescent="0.2">
      <c r="A15">
        <v>36</v>
      </c>
      <c r="B15" t="s">
        <v>38</v>
      </c>
      <c r="C15" s="1">
        <v>0.39064976229999998</v>
      </c>
      <c r="D15" s="3">
        <v>154.105997791048</v>
      </c>
      <c r="E15" t="str">
        <f>IF(C15&lt;0.1, "&lt;10%", IF(C15&lt;=0.2, "10-20%", IF(C15&lt;=0.3, "20-30%", IF(C15&lt;=0.4, "30-40%", IF(C15&lt;=0.5, "40-50%", IF(C15&lt;=0.6, "50-60%", IF(C15&lt;=0.7, "60-70%", IF(C15&lt;=0.8, "70-80%", IF(C15&lt;=0.9, "80-90%", "&gt;90%")))))))))</f>
        <v>30-40%</v>
      </c>
      <c r="F15" t="str">
        <f>IF(D15&lt;25, "&lt;25s", IF(D15&lt;=49, "25-49s", IF(D15&lt;=74, "50-74s", IF(D15&lt;=99, "75-99s", IF(D15&lt;=124, "100-124s", IF(D15&lt;=149, "125-149s", "150s+"))))))</f>
        <v>150s+</v>
      </c>
    </row>
    <row r="16" spans="1:6" x14ac:dyDescent="0.2">
      <c r="A16">
        <v>42</v>
      </c>
      <c r="B16" t="s">
        <v>44</v>
      </c>
      <c r="C16" s="1">
        <v>0.4606334842</v>
      </c>
      <c r="D16" s="3">
        <v>153.14194411737799</v>
      </c>
      <c r="E16" t="str">
        <f>IF(C16&lt;0.1, "&lt;10%", IF(C16&lt;=0.2, "10-20%", IF(C16&lt;=0.3, "20-30%", IF(C16&lt;=0.4, "30-40%", IF(C16&lt;=0.5, "40-50%", IF(C16&lt;=0.6, "50-60%", IF(C16&lt;=0.7, "60-70%", IF(C16&lt;=0.8, "70-80%", IF(C16&lt;=0.9, "80-90%", "&gt;90%")))))))))</f>
        <v>40-50%</v>
      </c>
      <c r="F16" t="str">
        <f>IF(D16&lt;25, "&lt;25s", IF(D16&lt;=49, "25-49s", IF(D16&lt;=74, "50-74s", IF(D16&lt;=99, "75-99s", IF(D16&lt;=124, "100-124s", IF(D16&lt;=149, "125-149s", "150s+"))))))</f>
        <v>150s+</v>
      </c>
    </row>
    <row r="17" spans="1:6" x14ac:dyDescent="0.2">
      <c r="A17">
        <v>38</v>
      </c>
      <c r="B17" t="s">
        <v>40</v>
      </c>
      <c r="C17" s="1">
        <v>0.42509225090000002</v>
      </c>
      <c r="D17" s="3">
        <v>149.13597910897801</v>
      </c>
      <c r="E17" t="str">
        <f>IF(C17&lt;0.1, "&lt;10%", IF(C17&lt;=0.2, "10-20%", IF(C17&lt;=0.3, "20-30%", IF(C17&lt;=0.4, "30-40%", IF(C17&lt;=0.5, "40-50%", IF(C17&lt;=0.6, "50-60%", IF(C17&lt;=0.7, "60-70%", IF(C17&lt;=0.8, "70-80%", IF(C17&lt;=0.9, "80-90%", "&gt;90%")))))))))</f>
        <v>40-50%</v>
      </c>
      <c r="F17" t="str">
        <f>IF(D17&lt;25, "&lt;25s", IF(D17&lt;=49, "25-49s", IF(D17&lt;=74, "50-74s", IF(D17&lt;=99, "75-99s", IF(D17&lt;=124, "100-124s", IF(D17&lt;=149, "125-149s", "150s+"))))))</f>
        <v>150s+</v>
      </c>
    </row>
    <row r="18" spans="1:6" x14ac:dyDescent="0.2">
      <c r="A18">
        <v>47</v>
      </c>
      <c r="B18" t="s">
        <v>49</v>
      </c>
      <c r="C18" s="1">
        <v>0.48529411760000002</v>
      </c>
      <c r="D18" s="3">
        <v>148.403434753417</v>
      </c>
      <c r="E18" t="str">
        <f>IF(C18&lt;0.1, "&lt;10%", IF(C18&lt;=0.2, "10-20%", IF(C18&lt;=0.3, "20-30%", IF(C18&lt;=0.4, "30-40%", IF(C18&lt;=0.5, "40-50%", IF(C18&lt;=0.6, "50-60%", IF(C18&lt;=0.7, "60-70%", IF(C18&lt;=0.8, "70-80%", IF(C18&lt;=0.9, "80-90%", "&gt;90%")))))))))</f>
        <v>40-50%</v>
      </c>
      <c r="F18" t="str">
        <f>IF(D18&lt;25, "&lt;25s", IF(D18&lt;=49, "25-49s", IF(D18&lt;=74, "50-74s", IF(D18&lt;=99, "75-99s", IF(D18&lt;=124, "100-124s", IF(D18&lt;=149, "125-149s", "150s+"))))))</f>
        <v>125-149s</v>
      </c>
    </row>
    <row r="19" spans="1:6" x14ac:dyDescent="0.2">
      <c r="A19">
        <v>44</v>
      </c>
      <c r="B19" t="s">
        <v>46</v>
      </c>
      <c r="C19" s="1">
        <v>0.44346289750000001</v>
      </c>
      <c r="D19" s="3">
        <v>147.439914343412</v>
      </c>
      <c r="E19" t="str">
        <f>IF(C19&lt;0.1, "&lt;10%", IF(C19&lt;=0.2, "10-20%", IF(C19&lt;=0.3, "20-30%", IF(C19&lt;=0.4, "30-40%", IF(C19&lt;=0.5, "40-50%", IF(C19&lt;=0.6, "50-60%", IF(C19&lt;=0.7, "60-70%", IF(C19&lt;=0.8, "70-80%", IF(C19&lt;=0.9, "80-90%", "&gt;90%")))))))))</f>
        <v>40-50%</v>
      </c>
      <c r="F19" t="str">
        <f>IF(D19&lt;25, "&lt;25s", IF(D19&lt;=49, "25-49s", IF(D19&lt;=74, "50-74s", IF(D19&lt;=99, "75-99s", IF(D19&lt;=124, "100-124s", IF(D19&lt;=149, "125-149s", "150s+"))))))</f>
        <v>125-149s</v>
      </c>
    </row>
    <row r="20" spans="1:6" x14ac:dyDescent="0.2">
      <c r="A20">
        <v>21</v>
      </c>
      <c r="B20" t="s">
        <v>23</v>
      </c>
      <c r="C20" s="1">
        <v>0.290499391</v>
      </c>
      <c r="D20" s="3">
        <v>146.616783197969</v>
      </c>
      <c r="E20" t="str">
        <f>IF(C20&lt;0.1, "&lt;10%", IF(C20&lt;=0.2, "10-20%", IF(C20&lt;=0.3, "20-30%", IF(C20&lt;=0.4, "30-40%", IF(C20&lt;=0.5, "40-50%", IF(C20&lt;=0.6, "50-60%", IF(C20&lt;=0.7, "60-70%", IF(C20&lt;=0.8, "70-80%", IF(C20&lt;=0.9, "80-90%", "&gt;90%")))))))))</f>
        <v>20-30%</v>
      </c>
      <c r="F20" t="str">
        <f>IF(D20&lt;25, "&lt;25s", IF(D20&lt;=49, "25-49s", IF(D20&lt;=74, "50-74s", IF(D20&lt;=99, "75-99s", IF(D20&lt;=124, "100-124s", IF(D20&lt;=149, "125-149s", "150s+"))))))</f>
        <v>125-149s</v>
      </c>
    </row>
    <row r="21" spans="1:6" x14ac:dyDescent="0.2">
      <c r="A21">
        <v>16</v>
      </c>
      <c r="B21" t="s">
        <v>18</v>
      </c>
      <c r="C21" s="1">
        <v>0.32120796159999998</v>
      </c>
      <c r="D21" s="3">
        <v>145.476212999783</v>
      </c>
      <c r="E21" t="str">
        <f>IF(C21&lt;0.1, "&lt;10%", IF(C21&lt;=0.2, "10-20%", IF(C21&lt;=0.3, "20-30%", IF(C21&lt;=0.4, "30-40%", IF(C21&lt;=0.5, "40-50%", IF(C21&lt;=0.6, "50-60%", IF(C21&lt;=0.7, "60-70%", IF(C21&lt;=0.8, "70-80%", IF(C21&lt;=0.9, "80-90%", "&gt;90%")))))))))</f>
        <v>30-40%</v>
      </c>
      <c r="F21" t="str">
        <f>IF(D21&lt;25, "&lt;25s", IF(D21&lt;=49, "25-49s", IF(D21&lt;=74, "50-74s", IF(D21&lt;=99, "75-99s", IF(D21&lt;=124, "100-124s", IF(D21&lt;=149, "125-149s", "150s+"))))))</f>
        <v>125-149s</v>
      </c>
    </row>
    <row r="22" spans="1:6" x14ac:dyDescent="0.2">
      <c r="A22">
        <v>69</v>
      </c>
      <c r="B22" t="s">
        <v>71</v>
      </c>
      <c r="C22" s="1">
        <v>0.88517441860000001</v>
      </c>
      <c r="D22" s="3">
        <v>144.94660059688599</v>
      </c>
      <c r="E22" t="str">
        <f>IF(C22&lt;0.1, "&lt;10%", IF(C22&lt;=0.2, "10-20%", IF(C22&lt;=0.3, "20-30%", IF(C22&lt;=0.4, "30-40%", IF(C22&lt;=0.5, "40-50%", IF(C22&lt;=0.6, "50-60%", IF(C22&lt;=0.7, "60-70%", IF(C22&lt;=0.8, "70-80%", IF(C22&lt;=0.9, "80-90%", "&gt;90%")))))))))</f>
        <v>80-90%</v>
      </c>
      <c r="F22" t="str">
        <f>IF(D22&lt;25, "&lt;25s", IF(D22&lt;=49, "25-49s", IF(D22&lt;=74, "50-74s", IF(D22&lt;=99, "75-99s", IF(D22&lt;=124, "100-124s", IF(D22&lt;=149, "125-149s", "150s+"))))))</f>
        <v>125-149s</v>
      </c>
    </row>
    <row r="23" spans="1:6" x14ac:dyDescent="0.2">
      <c r="A23">
        <v>50</v>
      </c>
      <c r="B23" t="s">
        <v>52</v>
      </c>
      <c r="C23" s="1">
        <v>0.62735257209999995</v>
      </c>
      <c r="D23" s="3">
        <v>139.84706080052999</v>
      </c>
      <c r="E23" t="str">
        <f>IF(C23&lt;0.1, "&lt;10%", IF(C23&lt;=0.2, "10-20%", IF(C23&lt;=0.3, "20-30%", IF(C23&lt;=0.4, "30-40%", IF(C23&lt;=0.5, "40-50%", IF(C23&lt;=0.6, "50-60%", IF(C23&lt;=0.7, "60-70%", IF(C23&lt;=0.8, "70-80%", IF(C23&lt;=0.9, "80-90%", "&gt;90%")))))))))</f>
        <v>60-70%</v>
      </c>
      <c r="F23" t="str">
        <f>IF(D23&lt;25, "&lt;25s", IF(D23&lt;=49, "25-49s", IF(D23&lt;=74, "50-74s", IF(D23&lt;=99, "75-99s", IF(D23&lt;=124, "100-124s", IF(D23&lt;=149, "125-149s", "150s+"))))))</f>
        <v>125-149s</v>
      </c>
    </row>
    <row r="24" spans="1:6" x14ac:dyDescent="0.2">
      <c r="A24">
        <v>40</v>
      </c>
      <c r="B24" t="s">
        <v>42</v>
      </c>
      <c r="C24" s="1">
        <v>0.44103547459999998</v>
      </c>
      <c r="D24" s="3">
        <v>138.556641906034</v>
      </c>
      <c r="E24" t="str">
        <f>IF(C24&lt;0.1, "&lt;10%", IF(C24&lt;=0.2, "10-20%", IF(C24&lt;=0.3, "20-30%", IF(C24&lt;=0.4, "30-40%", IF(C24&lt;=0.5, "40-50%", IF(C24&lt;=0.6, "50-60%", IF(C24&lt;=0.7, "60-70%", IF(C24&lt;=0.8, "70-80%", IF(C24&lt;=0.9, "80-90%", "&gt;90%")))))))))</f>
        <v>40-50%</v>
      </c>
      <c r="F24" t="str">
        <f>IF(D24&lt;25, "&lt;25s", IF(D24&lt;=49, "25-49s", IF(D24&lt;=74, "50-74s", IF(D24&lt;=99, "75-99s", IF(D24&lt;=124, "100-124s", IF(D24&lt;=149, "125-149s", "150s+"))))))</f>
        <v>125-149s</v>
      </c>
    </row>
    <row r="25" spans="1:6" x14ac:dyDescent="0.2">
      <c r="A25">
        <v>18</v>
      </c>
      <c r="B25" t="s">
        <v>20</v>
      </c>
      <c r="C25" s="1">
        <v>0.31102850059999998</v>
      </c>
      <c r="D25" s="3">
        <v>137.64277623966299</v>
      </c>
      <c r="E25" t="str">
        <f>IF(C25&lt;0.1, "&lt;10%", IF(C25&lt;=0.2, "10-20%", IF(C25&lt;=0.3, "20-30%", IF(C25&lt;=0.4, "30-40%", IF(C25&lt;=0.5, "40-50%", IF(C25&lt;=0.6, "50-60%", IF(C25&lt;=0.7, "60-70%", IF(C25&lt;=0.8, "70-80%", IF(C25&lt;=0.9, "80-90%", "&gt;90%")))))))))</f>
        <v>30-40%</v>
      </c>
      <c r="F25" t="str">
        <f>IF(D25&lt;25, "&lt;25s", IF(D25&lt;=49, "25-49s", IF(D25&lt;=74, "50-74s", IF(D25&lt;=99, "75-99s", IF(D25&lt;=124, "100-124s", IF(D25&lt;=149, "125-149s", "150s+"))))))</f>
        <v>125-149s</v>
      </c>
    </row>
    <row r="26" spans="1:6" x14ac:dyDescent="0.2">
      <c r="A26">
        <v>51</v>
      </c>
      <c r="B26" t="s">
        <v>53</v>
      </c>
      <c r="C26" s="1">
        <v>0.5568312285</v>
      </c>
      <c r="D26" s="3">
        <v>133.909733472391</v>
      </c>
      <c r="E26" t="str">
        <f>IF(C26&lt;0.1, "&lt;10%", IF(C26&lt;=0.2, "10-20%", IF(C26&lt;=0.3, "20-30%", IF(C26&lt;=0.4, "30-40%", IF(C26&lt;=0.5, "40-50%", IF(C26&lt;=0.6, "50-60%", IF(C26&lt;=0.7, "60-70%", IF(C26&lt;=0.8, "70-80%", IF(C26&lt;=0.9, "80-90%", "&gt;90%")))))))))</f>
        <v>50-60%</v>
      </c>
      <c r="F26" t="str">
        <f>IF(D26&lt;25, "&lt;25s", IF(D26&lt;=49, "25-49s", IF(D26&lt;=74, "50-74s", IF(D26&lt;=99, "75-99s", IF(D26&lt;=124, "100-124s", IF(D26&lt;=149, "125-149s", "150s+"))))))</f>
        <v>125-149s</v>
      </c>
    </row>
    <row r="27" spans="1:6" x14ac:dyDescent="0.2">
      <c r="A27">
        <v>14</v>
      </c>
      <c r="B27" t="s">
        <v>16</v>
      </c>
      <c r="C27" s="1">
        <v>0.2319189971</v>
      </c>
      <c r="D27" s="3">
        <v>133.05342699866699</v>
      </c>
      <c r="E27" t="str">
        <f>IF(C27&lt;0.1, "&lt;10%", IF(C27&lt;=0.2, "10-20%", IF(C27&lt;=0.3, "20-30%", IF(C27&lt;=0.4, "30-40%", IF(C27&lt;=0.5, "40-50%", IF(C27&lt;=0.6, "50-60%", IF(C27&lt;=0.7, "60-70%", IF(C27&lt;=0.8, "70-80%", IF(C27&lt;=0.9, "80-90%", "&gt;90%")))))))))</f>
        <v>20-30%</v>
      </c>
      <c r="F27" t="str">
        <f>IF(D27&lt;25, "&lt;25s", IF(D27&lt;=49, "25-49s", IF(D27&lt;=74, "50-74s", IF(D27&lt;=99, "75-99s", IF(D27&lt;=124, "100-124s", IF(D27&lt;=149, "125-149s", "150s+"))))))</f>
        <v>125-149s</v>
      </c>
    </row>
    <row r="28" spans="1:6" x14ac:dyDescent="0.2">
      <c r="A28">
        <v>37</v>
      </c>
      <c r="B28" t="s">
        <v>39</v>
      </c>
      <c r="C28" s="1">
        <v>0.41782729810000002</v>
      </c>
      <c r="D28" s="3">
        <v>130.270010728854</v>
      </c>
      <c r="E28" t="str">
        <f>IF(C28&lt;0.1, "&lt;10%", IF(C28&lt;=0.2, "10-20%", IF(C28&lt;=0.3, "20-30%", IF(C28&lt;=0.4, "30-40%", IF(C28&lt;=0.5, "40-50%", IF(C28&lt;=0.6, "50-60%", IF(C28&lt;=0.7, "60-70%", IF(C28&lt;=0.8, "70-80%", IF(C28&lt;=0.9, "80-90%", "&gt;90%")))))))))</f>
        <v>40-50%</v>
      </c>
      <c r="F28" t="str">
        <f>IF(D28&lt;25, "&lt;25s", IF(D28&lt;=49, "25-49s", IF(D28&lt;=74, "50-74s", IF(D28&lt;=99, "75-99s", IF(D28&lt;=124, "100-124s", IF(D28&lt;=149, "125-149s", "150s+"))))))</f>
        <v>125-149s</v>
      </c>
    </row>
    <row r="29" spans="1:6" x14ac:dyDescent="0.2">
      <c r="A29">
        <v>60</v>
      </c>
      <c r="B29" t="s">
        <v>62</v>
      </c>
      <c r="C29" s="1">
        <v>0.61726954489999997</v>
      </c>
      <c r="D29" s="3">
        <v>129.30076146265401</v>
      </c>
      <c r="E29" t="str">
        <f>IF(C29&lt;0.1, "&lt;10%", IF(C29&lt;=0.2, "10-20%", IF(C29&lt;=0.3, "20-30%", IF(C29&lt;=0.4, "30-40%", IF(C29&lt;=0.5, "40-50%", IF(C29&lt;=0.6, "50-60%", IF(C29&lt;=0.7, "60-70%", IF(C29&lt;=0.8, "70-80%", IF(C29&lt;=0.9, "80-90%", "&gt;90%")))))))))</f>
        <v>60-70%</v>
      </c>
      <c r="F29" t="str">
        <f>IF(D29&lt;25, "&lt;25s", IF(D29&lt;=49, "25-49s", IF(D29&lt;=74, "50-74s", IF(D29&lt;=99, "75-99s", IF(D29&lt;=124, "100-124s", IF(D29&lt;=149, "125-149s", "150s+"))))))</f>
        <v>125-149s</v>
      </c>
    </row>
    <row r="30" spans="1:6" x14ac:dyDescent="0.2">
      <c r="A30">
        <v>9</v>
      </c>
      <c r="B30" t="s">
        <v>11</v>
      </c>
      <c r="C30" s="1">
        <v>0.23405323959999999</v>
      </c>
      <c r="D30" s="3">
        <v>129.119668873026</v>
      </c>
      <c r="E30" t="str">
        <f>IF(C30&lt;0.1, "&lt;10%", IF(C30&lt;=0.2, "10-20%", IF(C30&lt;=0.3, "20-30%", IF(C30&lt;=0.4, "30-40%", IF(C30&lt;=0.5, "40-50%", IF(C30&lt;=0.6, "50-60%", IF(C30&lt;=0.7, "60-70%", IF(C30&lt;=0.8, "70-80%", IF(C30&lt;=0.9, "80-90%", "&gt;90%")))))))))</f>
        <v>20-30%</v>
      </c>
      <c r="F30" t="str">
        <f>IF(D30&lt;25, "&lt;25s", IF(D30&lt;=49, "25-49s", IF(D30&lt;=74, "50-74s", IF(D30&lt;=99, "75-99s", IF(D30&lt;=124, "100-124s", IF(D30&lt;=149, "125-149s", "150s+"))))))</f>
        <v>125-149s</v>
      </c>
    </row>
    <row r="31" spans="1:6" x14ac:dyDescent="0.2">
      <c r="A31">
        <v>24</v>
      </c>
      <c r="B31" t="s">
        <v>26</v>
      </c>
      <c r="C31" s="1">
        <v>0.27514450870000001</v>
      </c>
      <c r="D31" s="3">
        <v>127.75106491288101</v>
      </c>
      <c r="E31" t="str">
        <f>IF(C31&lt;0.1, "&lt;10%", IF(C31&lt;=0.2, "10-20%", IF(C31&lt;=0.3, "20-30%", IF(C31&lt;=0.4, "30-40%", IF(C31&lt;=0.5, "40-50%", IF(C31&lt;=0.6, "50-60%", IF(C31&lt;=0.7, "60-70%", IF(C31&lt;=0.8, "70-80%", IF(C31&lt;=0.9, "80-90%", "&gt;90%")))))))))</f>
        <v>20-30%</v>
      </c>
      <c r="F31" t="str">
        <f>IF(D31&lt;25, "&lt;25s", IF(D31&lt;=49, "25-49s", IF(D31&lt;=74, "50-74s", IF(D31&lt;=99, "75-99s", IF(D31&lt;=124, "100-124s", IF(D31&lt;=149, "125-149s", "150s+"))))))</f>
        <v>125-149s</v>
      </c>
    </row>
    <row r="32" spans="1:6" x14ac:dyDescent="0.2">
      <c r="A32">
        <v>66</v>
      </c>
      <c r="B32" t="s">
        <v>68</v>
      </c>
      <c r="C32" s="1">
        <v>0.85913312689999999</v>
      </c>
      <c r="D32" s="3">
        <v>127.63057006057301</v>
      </c>
      <c r="E32" t="str">
        <f>IF(C32&lt;0.1, "&lt;10%", IF(C32&lt;=0.2, "10-20%", IF(C32&lt;=0.3, "20-30%", IF(C32&lt;=0.4, "30-40%", IF(C32&lt;=0.5, "40-50%", IF(C32&lt;=0.6, "50-60%", IF(C32&lt;=0.7, "60-70%", IF(C32&lt;=0.8, "70-80%", IF(C32&lt;=0.9, "80-90%", "&gt;90%")))))))))</f>
        <v>80-90%</v>
      </c>
      <c r="F32" t="str">
        <f>IF(D32&lt;25, "&lt;25s", IF(D32&lt;=49, "25-49s", IF(D32&lt;=74, "50-74s", IF(D32&lt;=99, "75-99s", IF(D32&lt;=124, "100-124s", IF(D32&lt;=149, "125-149s", "150s+"))))))</f>
        <v>125-149s</v>
      </c>
    </row>
    <row r="33" spans="1:6" x14ac:dyDescent="0.2">
      <c r="A33">
        <v>43</v>
      </c>
      <c r="B33" t="s">
        <v>45</v>
      </c>
      <c r="C33" s="1">
        <v>0.41181165199999997</v>
      </c>
      <c r="D33" s="3">
        <v>127.059029072988</v>
      </c>
      <c r="E33" t="str">
        <f>IF(C33&lt;0.1, "&lt;10%", IF(C33&lt;=0.2, "10-20%", IF(C33&lt;=0.3, "20-30%", IF(C33&lt;=0.4, "30-40%", IF(C33&lt;=0.5, "40-50%", IF(C33&lt;=0.6, "50-60%", IF(C33&lt;=0.7, "60-70%", IF(C33&lt;=0.8, "70-80%", IF(C33&lt;=0.9, "80-90%", "&gt;90%")))))))))</f>
        <v>40-50%</v>
      </c>
      <c r="F33" t="str">
        <f>IF(D33&lt;25, "&lt;25s", IF(D33&lt;=49, "25-49s", IF(D33&lt;=74, "50-74s", IF(D33&lt;=99, "75-99s", IF(D33&lt;=124, "100-124s", IF(D33&lt;=149, "125-149s", "150s+"))))))</f>
        <v>125-149s</v>
      </c>
    </row>
    <row r="34" spans="1:6" x14ac:dyDescent="0.2">
      <c r="A34">
        <v>10</v>
      </c>
      <c r="B34" t="s">
        <v>12</v>
      </c>
      <c r="C34" s="1">
        <v>0.251552795</v>
      </c>
      <c r="D34" s="3">
        <v>124.367106584832</v>
      </c>
      <c r="E34" t="str">
        <f>IF(C34&lt;0.1, "&lt;10%", IF(C34&lt;=0.2, "10-20%", IF(C34&lt;=0.3, "20-30%", IF(C34&lt;=0.4, "30-40%", IF(C34&lt;=0.5, "40-50%", IF(C34&lt;=0.6, "50-60%", IF(C34&lt;=0.7, "60-70%", IF(C34&lt;=0.8, "70-80%", IF(C34&lt;=0.9, "80-90%", "&gt;90%")))))))))</f>
        <v>20-30%</v>
      </c>
      <c r="F34" t="str">
        <f>IF(D34&lt;25, "&lt;25s", IF(D34&lt;=49, "25-49s", IF(D34&lt;=74, "50-74s", IF(D34&lt;=99, "75-99s", IF(D34&lt;=124, "100-124s", IF(D34&lt;=149, "125-149s", "150s+"))))))</f>
        <v>125-149s</v>
      </c>
    </row>
    <row r="35" spans="1:6" x14ac:dyDescent="0.2">
      <c r="A35">
        <v>33</v>
      </c>
      <c r="B35" t="s">
        <v>35</v>
      </c>
      <c r="C35" s="1">
        <v>0.33433508639999998</v>
      </c>
      <c r="D35" s="3">
        <v>119.93487381376301</v>
      </c>
      <c r="E35" t="str">
        <f>IF(C35&lt;0.1, "&lt;10%", IF(C35&lt;=0.2, "10-20%", IF(C35&lt;=0.3, "20-30%", IF(C35&lt;=0.4, "30-40%", IF(C35&lt;=0.5, "40-50%", IF(C35&lt;=0.6, "50-60%", IF(C35&lt;=0.7, "60-70%", IF(C35&lt;=0.8, "70-80%", IF(C35&lt;=0.9, "80-90%", "&gt;90%")))))))))</f>
        <v>30-40%</v>
      </c>
      <c r="F35" t="str">
        <f>IF(D35&lt;25, "&lt;25s", IF(D35&lt;=49, "25-49s", IF(D35&lt;=74, "50-74s", IF(D35&lt;=99, "75-99s", IF(D35&lt;=124, "100-124s", IF(D35&lt;=149, "125-149s", "150s+"))))))</f>
        <v>100-124s</v>
      </c>
    </row>
    <row r="36" spans="1:6" x14ac:dyDescent="0.2">
      <c r="A36">
        <v>4</v>
      </c>
      <c r="B36" t="s">
        <v>6</v>
      </c>
      <c r="C36" s="1">
        <v>0.1910958904</v>
      </c>
      <c r="D36" s="3">
        <v>115.92800450278401</v>
      </c>
      <c r="E36" t="str">
        <f>IF(C36&lt;0.1, "&lt;10%", IF(C36&lt;=0.2, "10-20%", IF(C36&lt;=0.3, "20-30%", IF(C36&lt;=0.4, "30-40%", IF(C36&lt;=0.5, "40-50%", IF(C36&lt;=0.6, "50-60%", IF(C36&lt;=0.7, "60-70%", IF(C36&lt;=0.8, "70-80%", IF(C36&lt;=0.9, "80-90%", "&gt;90%")))))))))</f>
        <v>10-20%</v>
      </c>
      <c r="F36" t="str">
        <f>IF(D36&lt;25, "&lt;25s", IF(D36&lt;=49, "25-49s", IF(D36&lt;=74, "50-74s", IF(D36&lt;=99, "75-99s", IF(D36&lt;=124, "100-124s", IF(D36&lt;=149, "125-149s", "150s+"))))))</f>
        <v>100-124s</v>
      </c>
    </row>
    <row r="37" spans="1:6" x14ac:dyDescent="0.2">
      <c r="A37">
        <v>45</v>
      </c>
      <c r="B37" t="s">
        <v>47</v>
      </c>
      <c r="C37" s="1">
        <v>0.42563143120000002</v>
      </c>
      <c r="D37" s="3">
        <v>112.9554467462</v>
      </c>
      <c r="E37" t="str">
        <f>IF(C37&lt;0.1, "&lt;10%", IF(C37&lt;=0.2, "10-20%", IF(C37&lt;=0.3, "20-30%", IF(C37&lt;=0.4, "30-40%", IF(C37&lt;=0.5, "40-50%", IF(C37&lt;=0.6, "50-60%", IF(C37&lt;=0.7, "60-70%", IF(C37&lt;=0.8, "70-80%", IF(C37&lt;=0.9, "80-90%", "&gt;90%")))))))))</f>
        <v>40-50%</v>
      </c>
      <c r="F37" t="str">
        <f>IF(D37&lt;25, "&lt;25s", IF(D37&lt;=49, "25-49s", IF(D37&lt;=74, "50-74s", IF(D37&lt;=99, "75-99s", IF(D37&lt;=124, "100-124s", IF(D37&lt;=149, "125-149s", "150s+"))))))</f>
        <v>100-124s</v>
      </c>
    </row>
    <row r="38" spans="1:6" x14ac:dyDescent="0.2">
      <c r="A38">
        <v>46</v>
      </c>
      <c r="B38" t="s">
        <v>48</v>
      </c>
      <c r="C38" s="1">
        <v>0.50096899220000002</v>
      </c>
      <c r="D38" s="3">
        <v>109.45793702965599</v>
      </c>
      <c r="E38" t="str">
        <f>IF(C38&lt;0.1, "&lt;10%", IF(C38&lt;=0.2, "10-20%", IF(C38&lt;=0.3, "20-30%", IF(C38&lt;=0.4, "30-40%", IF(C38&lt;=0.5, "40-50%", IF(C38&lt;=0.6, "50-60%", IF(C38&lt;=0.7, "60-70%", IF(C38&lt;=0.8, "70-80%", IF(C38&lt;=0.9, "80-90%", "&gt;90%")))))))))</f>
        <v>50-60%</v>
      </c>
      <c r="F38" t="str">
        <f>IF(D38&lt;25, "&lt;25s", IF(D38&lt;=49, "25-49s", IF(D38&lt;=74, "50-74s", IF(D38&lt;=99, "75-99s", IF(D38&lt;=124, "100-124s", IF(D38&lt;=149, "125-149s", "150s+"))))))</f>
        <v>100-124s</v>
      </c>
    </row>
    <row r="39" spans="1:6" x14ac:dyDescent="0.2">
      <c r="A39">
        <v>59</v>
      </c>
      <c r="B39" t="s">
        <v>61</v>
      </c>
      <c r="C39" s="1">
        <v>0.61082474229999995</v>
      </c>
      <c r="D39" s="3">
        <v>107.79513947898501</v>
      </c>
      <c r="E39" t="str">
        <f>IF(C39&lt;0.1, "&lt;10%", IF(C39&lt;=0.2, "10-20%", IF(C39&lt;=0.3, "20-30%", IF(C39&lt;=0.4, "30-40%", IF(C39&lt;=0.5, "40-50%", IF(C39&lt;=0.6, "50-60%", IF(C39&lt;=0.7, "60-70%", IF(C39&lt;=0.8, "70-80%", IF(C39&lt;=0.9, "80-90%", "&gt;90%")))))))))</f>
        <v>60-70%</v>
      </c>
      <c r="F39" t="str">
        <f>IF(D39&lt;25, "&lt;25s", IF(D39&lt;=49, "25-49s", IF(D39&lt;=74, "50-74s", IF(D39&lt;=99, "75-99s", IF(D39&lt;=124, "100-124s", IF(D39&lt;=149, "125-149s", "150s+"))))))</f>
        <v>100-124s</v>
      </c>
    </row>
    <row r="40" spans="1:6" x14ac:dyDescent="0.2">
      <c r="A40">
        <v>17</v>
      </c>
      <c r="B40" t="s">
        <v>19</v>
      </c>
      <c r="C40" s="1">
        <v>0.31275720159999998</v>
      </c>
      <c r="D40" s="3">
        <v>104.654886312782</v>
      </c>
      <c r="E40" t="str">
        <f>IF(C40&lt;0.1, "&lt;10%", IF(C40&lt;=0.2, "10-20%", IF(C40&lt;=0.3, "20-30%", IF(C40&lt;=0.4, "30-40%", IF(C40&lt;=0.5, "40-50%", IF(C40&lt;=0.6, "50-60%", IF(C40&lt;=0.7, "60-70%", IF(C40&lt;=0.8, "70-80%", IF(C40&lt;=0.9, "80-90%", "&gt;90%")))))))))</f>
        <v>30-40%</v>
      </c>
      <c r="F40" t="str">
        <f>IF(D40&lt;25, "&lt;25s", IF(D40&lt;=49, "25-49s", IF(D40&lt;=74, "50-74s", IF(D40&lt;=99, "75-99s", IF(D40&lt;=124, "100-124s", IF(D40&lt;=149, "125-149s", "150s+"))))))</f>
        <v>100-124s</v>
      </c>
    </row>
    <row r="41" spans="1:6" x14ac:dyDescent="0.2">
      <c r="A41">
        <v>34</v>
      </c>
      <c r="B41" t="s">
        <v>36</v>
      </c>
      <c r="C41" s="1">
        <v>0.39729299359999998</v>
      </c>
      <c r="D41" s="3">
        <v>104.03119605733001</v>
      </c>
      <c r="E41" t="str">
        <f>IF(C41&lt;0.1, "&lt;10%", IF(C41&lt;=0.2, "10-20%", IF(C41&lt;=0.3, "20-30%", IF(C41&lt;=0.4, "30-40%", IF(C41&lt;=0.5, "40-50%", IF(C41&lt;=0.6, "50-60%", IF(C41&lt;=0.7, "60-70%", IF(C41&lt;=0.8, "70-80%", IF(C41&lt;=0.9, "80-90%", "&gt;90%")))))))))</f>
        <v>30-40%</v>
      </c>
      <c r="F41" t="str">
        <f>IF(D41&lt;25, "&lt;25s", IF(D41&lt;=49, "25-49s", IF(D41&lt;=74, "50-74s", IF(D41&lt;=99, "75-99s", IF(D41&lt;=124, "100-124s", IF(D41&lt;=149, "125-149s", "150s+"))))))</f>
        <v>100-124s</v>
      </c>
    </row>
    <row r="42" spans="1:6" x14ac:dyDescent="0.2">
      <c r="A42">
        <v>32</v>
      </c>
      <c r="B42" t="s">
        <v>34</v>
      </c>
      <c r="C42" s="1">
        <v>0.36319104270000002</v>
      </c>
      <c r="D42" s="3">
        <v>102.312017320655</v>
      </c>
      <c r="E42" t="str">
        <f>IF(C42&lt;0.1, "&lt;10%", IF(C42&lt;=0.2, "10-20%", IF(C42&lt;=0.3, "20-30%", IF(C42&lt;=0.4, "30-40%", IF(C42&lt;=0.5, "40-50%", IF(C42&lt;=0.6, "50-60%", IF(C42&lt;=0.7, "60-70%", IF(C42&lt;=0.8, "70-80%", IF(C42&lt;=0.9, "80-90%", "&gt;90%")))))))))</f>
        <v>30-40%</v>
      </c>
      <c r="F42" t="str">
        <f>IF(D42&lt;25, "&lt;25s", IF(D42&lt;=49, "25-49s", IF(D42&lt;=74, "50-74s", IF(D42&lt;=99, "75-99s", IF(D42&lt;=124, "100-124s", IF(D42&lt;=149, "125-149s", "150s+"))))))</f>
        <v>100-124s</v>
      </c>
    </row>
    <row r="43" spans="1:6" x14ac:dyDescent="0.2">
      <c r="A43">
        <v>68</v>
      </c>
      <c r="B43" t="s">
        <v>70</v>
      </c>
      <c r="C43" s="1">
        <v>0.74846625769999997</v>
      </c>
      <c r="D43" s="3">
        <v>101.781787241343</v>
      </c>
      <c r="E43" t="str">
        <f>IF(C43&lt;0.1, "&lt;10%", IF(C43&lt;=0.2, "10-20%", IF(C43&lt;=0.3, "20-30%", IF(C43&lt;=0.4, "30-40%", IF(C43&lt;=0.5, "40-50%", IF(C43&lt;=0.6, "50-60%", IF(C43&lt;=0.7, "60-70%", IF(C43&lt;=0.8, "70-80%", IF(C43&lt;=0.9, "80-90%", "&gt;90%")))))))))</f>
        <v>70-80%</v>
      </c>
      <c r="F43" t="str">
        <f>IF(D43&lt;25, "&lt;25s", IF(D43&lt;=49, "25-49s", IF(D43&lt;=74, "50-74s", IF(D43&lt;=99, "75-99s", IF(D43&lt;=124, "100-124s", IF(D43&lt;=149, "125-149s", "150s+"))))))</f>
        <v>100-124s</v>
      </c>
    </row>
    <row r="44" spans="1:6" x14ac:dyDescent="0.2">
      <c r="A44">
        <v>52</v>
      </c>
      <c r="B44" t="s">
        <v>54</v>
      </c>
      <c r="C44" s="1">
        <v>0.63925729440000001</v>
      </c>
      <c r="D44" s="3">
        <v>101.64294332033001</v>
      </c>
      <c r="E44" t="str">
        <f>IF(C44&lt;0.1, "&lt;10%", IF(C44&lt;=0.2, "10-20%", IF(C44&lt;=0.3, "20-30%", IF(C44&lt;=0.4, "30-40%", IF(C44&lt;=0.5, "40-50%", IF(C44&lt;=0.6, "50-60%", IF(C44&lt;=0.7, "60-70%", IF(C44&lt;=0.8, "70-80%", IF(C44&lt;=0.9, "80-90%", "&gt;90%")))))))))</f>
        <v>60-70%</v>
      </c>
      <c r="F44" t="str">
        <f>IF(D44&lt;25, "&lt;25s", IF(D44&lt;=49, "25-49s", IF(D44&lt;=74, "50-74s", IF(D44&lt;=99, "75-99s", IF(D44&lt;=124, "100-124s", IF(D44&lt;=149, "125-149s", "150s+"))))))</f>
        <v>100-124s</v>
      </c>
    </row>
    <row r="45" spans="1:6" x14ac:dyDescent="0.2">
      <c r="A45">
        <v>49</v>
      </c>
      <c r="B45" t="s">
        <v>51</v>
      </c>
      <c r="C45" s="1">
        <v>0.48590864919999999</v>
      </c>
      <c r="D45" s="3">
        <v>101.58450975548401</v>
      </c>
      <c r="E45" t="str">
        <f>IF(C45&lt;0.1, "&lt;10%", IF(C45&lt;=0.2, "10-20%", IF(C45&lt;=0.3, "20-30%", IF(C45&lt;=0.4, "30-40%", IF(C45&lt;=0.5, "40-50%", IF(C45&lt;=0.6, "50-60%", IF(C45&lt;=0.7, "60-70%", IF(C45&lt;=0.8, "70-80%", IF(C45&lt;=0.9, "80-90%", "&gt;90%")))))))))</f>
        <v>40-50%</v>
      </c>
      <c r="F45" t="str">
        <f>IF(D45&lt;25, "&lt;25s", IF(D45&lt;=49, "25-49s", IF(D45&lt;=74, "50-74s", IF(D45&lt;=99, "75-99s", IF(D45&lt;=124, "100-124s", IF(D45&lt;=149, "125-149s", "150s+"))))))</f>
        <v>100-124s</v>
      </c>
    </row>
    <row r="46" spans="1:6" x14ac:dyDescent="0.2">
      <c r="A46">
        <v>76</v>
      </c>
      <c r="B46" t="s">
        <v>78</v>
      </c>
      <c r="C46" s="1">
        <v>0.73722627740000002</v>
      </c>
      <c r="D46" s="3">
        <v>101.45268676104</v>
      </c>
      <c r="E46" t="str">
        <f>IF(C46&lt;0.1, "&lt;10%", IF(C46&lt;=0.2, "10-20%", IF(C46&lt;=0.3, "20-30%", IF(C46&lt;=0.4, "30-40%", IF(C46&lt;=0.5, "40-50%", IF(C46&lt;=0.6, "50-60%", IF(C46&lt;=0.7, "60-70%", IF(C46&lt;=0.8, "70-80%", IF(C46&lt;=0.9, "80-90%", "&gt;90%")))))))))</f>
        <v>70-80%</v>
      </c>
      <c r="F46" t="str">
        <f>IF(D46&lt;25, "&lt;25s", IF(D46&lt;=49, "25-49s", IF(D46&lt;=74, "50-74s", IF(D46&lt;=99, "75-99s", IF(D46&lt;=124, "100-124s", IF(D46&lt;=149, "125-149s", "150s+"))))))</f>
        <v>100-124s</v>
      </c>
    </row>
    <row r="47" spans="1:6" x14ac:dyDescent="0.2">
      <c r="A47">
        <v>64</v>
      </c>
      <c r="B47" t="s">
        <v>66</v>
      </c>
      <c r="C47" s="1">
        <v>0.84946236559999999</v>
      </c>
      <c r="D47" s="3">
        <v>98.859858938958496</v>
      </c>
      <c r="E47" t="str">
        <f>IF(C47&lt;0.1, "&lt;10%", IF(C47&lt;=0.2, "10-20%", IF(C47&lt;=0.3, "20-30%", IF(C47&lt;=0.4, "30-40%", IF(C47&lt;=0.5, "40-50%", IF(C47&lt;=0.6, "50-60%", IF(C47&lt;=0.7, "60-70%", IF(C47&lt;=0.8, "70-80%", IF(C47&lt;=0.9, "80-90%", "&gt;90%")))))))))</f>
        <v>80-90%</v>
      </c>
      <c r="F47" t="str">
        <f>IF(D47&lt;25, "&lt;25s", IF(D47&lt;=49, "25-49s", IF(D47&lt;=74, "50-74s", IF(D47&lt;=99, "75-99s", IF(D47&lt;=124, "100-124s", IF(D47&lt;=149, "125-149s", "150s+"))))))</f>
        <v>75-99s</v>
      </c>
    </row>
    <row r="48" spans="1:6" x14ac:dyDescent="0.2">
      <c r="A48">
        <v>54</v>
      </c>
      <c r="B48" t="s">
        <v>56</v>
      </c>
      <c r="C48" s="1">
        <v>0.69139465879999995</v>
      </c>
      <c r="D48" s="3">
        <v>95.714566083624902</v>
      </c>
      <c r="E48" t="str">
        <f>IF(C48&lt;0.1, "&lt;10%", IF(C48&lt;=0.2, "10-20%", IF(C48&lt;=0.3, "20-30%", IF(C48&lt;=0.4, "30-40%", IF(C48&lt;=0.5, "40-50%", IF(C48&lt;=0.6, "50-60%", IF(C48&lt;=0.7, "60-70%", IF(C48&lt;=0.8, "70-80%", IF(C48&lt;=0.9, "80-90%", "&gt;90%")))))))))</f>
        <v>60-70%</v>
      </c>
      <c r="F48" t="str">
        <f>IF(D48&lt;25, "&lt;25s", IF(D48&lt;=49, "25-49s", IF(D48&lt;=74, "50-74s", IF(D48&lt;=99, "75-99s", IF(D48&lt;=124, "100-124s", IF(D48&lt;=149, "125-149s", "150s+"))))))</f>
        <v>75-99s</v>
      </c>
    </row>
    <row r="49" spans="1:6" x14ac:dyDescent="0.2">
      <c r="A49">
        <v>41</v>
      </c>
      <c r="B49" t="s">
        <v>43</v>
      </c>
      <c r="C49" s="1">
        <v>0.4311926606</v>
      </c>
      <c r="D49" s="3">
        <v>91.691164446529001</v>
      </c>
      <c r="E49" t="str">
        <f>IF(C49&lt;0.1, "&lt;10%", IF(C49&lt;=0.2, "10-20%", IF(C49&lt;=0.3, "20-30%", IF(C49&lt;=0.4, "30-40%", IF(C49&lt;=0.5, "40-50%", IF(C49&lt;=0.6, "50-60%", IF(C49&lt;=0.7, "60-70%", IF(C49&lt;=0.8, "70-80%", IF(C49&lt;=0.9, "80-90%", "&gt;90%")))))))))</f>
        <v>40-50%</v>
      </c>
      <c r="F49" t="str">
        <f>IF(D49&lt;25, "&lt;25s", IF(D49&lt;=49, "25-49s", IF(D49&lt;=74, "50-74s", IF(D49&lt;=99, "75-99s", IF(D49&lt;=124, "100-124s", IF(D49&lt;=149, "125-149s", "150s+"))))))</f>
        <v>75-99s</v>
      </c>
    </row>
    <row r="50" spans="1:6" x14ac:dyDescent="0.2">
      <c r="A50">
        <v>61</v>
      </c>
      <c r="B50" t="s">
        <v>63</v>
      </c>
      <c r="C50" s="1">
        <v>0.53409090910000001</v>
      </c>
      <c r="D50" s="3">
        <v>91.024528078269199</v>
      </c>
      <c r="E50" t="str">
        <f>IF(C50&lt;0.1, "&lt;10%", IF(C50&lt;=0.2, "10-20%", IF(C50&lt;=0.3, "20-30%", IF(C50&lt;=0.4, "30-40%", IF(C50&lt;=0.5, "40-50%", IF(C50&lt;=0.6, "50-60%", IF(C50&lt;=0.7, "60-70%", IF(C50&lt;=0.8, "70-80%", IF(C50&lt;=0.9, "80-90%", "&gt;90%")))))))))</f>
        <v>50-60%</v>
      </c>
      <c r="F50" t="str">
        <f>IF(D50&lt;25, "&lt;25s", IF(D50&lt;=49, "25-49s", IF(D50&lt;=74, "50-74s", IF(D50&lt;=99, "75-99s", IF(D50&lt;=124, "100-124s", IF(D50&lt;=149, "125-149s", "150s+"))))))</f>
        <v>75-99s</v>
      </c>
    </row>
    <row r="51" spans="1:6" x14ac:dyDescent="0.2">
      <c r="A51">
        <v>27</v>
      </c>
      <c r="B51" t="s">
        <v>29</v>
      </c>
      <c r="C51" s="1">
        <v>0.3503546099</v>
      </c>
      <c r="D51" s="3">
        <v>87.917113881558095</v>
      </c>
      <c r="E51" t="str">
        <f>IF(C51&lt;0.1, "&lt;10%", IF(C51&lt;=0.2, "10-20%", IF(C51&lt;=0.3, "20-30%", IF(C51&lt;=0.4, "30-40%", IF(C51&lt;=0.5, "40-50%", IF(C51&lt;=0.6, "50-60%", IF(C51&lt;=0.7, "60-70%", IF(C51&lt;=0.8, "70-80%", IF(C51&lt;=0.9, "80-90%", "&gt;90%")))))))))</f>
        <v>30-40%</v>
      </c>
      <c r="F51" t="str">
        <f>IF(D51&lt;25, "&lt;25s", IF(D51&lt;=49, "25-49s", IF(D51&lt;=74, "50-74s", IF(D51&lt;=99, "75-99s", IF(D51&lt;=124, "100-124s", IF(D51&lt;=149, "125-149s", "150s+"))))))</f>
        <v>75-99s</v>
      </c>
    </row>
    <row r="52" spans="1:6" x14ac:dyDescent="0.2">
      <c r="A52">
        <v>15</v>
      </c>
      <c r="B52" t="s">
        <v>17</v>
      </c>
      <c r="C52" s="1">
        <v>0.30193387399999999</v>
      </c>
      <c r="D52" s="3">
        <v>87.615557732060495</v>
      </c>
      <c r="E52" t="str">
        <f>IF(C52&lt;0.1, "&lt;10%", IF(C52&lt;=0.2, "10-20%", IF(C52&lt;=0.3, "20-30%", IF(C52&lt;=0.4, "30-40%", IF(C52&lt;=0.5, "40-50%", IF(C52&lt;=0.6, "50-60%", IF(C52&lt;=0.7, "60-70%", IF(C52&lt;=0.8, "70-80%", IF(C52&lt;=0.9, "80-90%", "&gt;90%")))))))))</f>
        <v>30-40%</v>
      </c>
      <c r="F52" t="str">
        <f>IF(D52&lt;25, "&lt;25s", IF(D52&lt;=49, "25-49s", IF(D52&lt;=74, "50-74s", IF(D52&lt;=99, "75-99s", IF(D52&lt;=124, "100-124s", IF(D52&lt;=149, "125-149s", "150s+"))))))</f>
        <v>75-99s</v>
      </c>
    </row>
    <row r="53" spans="1:6" x14ac:dyDescent="0.2">
      <c r="A53">
        <v>29</v>
      </c>
      <c r="B53" t="s">
        <v>31</v>
      </c>
      <c r="C53" s="1">
        <v>0.40109389239999998</v>
      </c>
      <c r="D53" s="3">
        <v>87.358193560503395</v>
      </c>
      <c r="E53" t="str">
        <f>IF(C53&lt;0.1, "&lt;10%", IF(C53&lt;=0.2, "10-20%", IF(C53&lt;=0.3, "20-30%", IF(C53&lt;=0.4, "30-40%", IF(C53&lt;=0.5, "40-50%", IF(C53&lt;=0.6, "50-60%", IF(C53&lt;=0.7, "60-70%", IF(C53&lt;=0.8, "70-80%", IF(C53&lt;=0.9, "80-90%", "&gt;90%")))))))))</f>
        <v>40-50%</v>
      </c>
      <c r="F53" t="str">
        <f>IF(D53&lt;25, "&lt;25s", IF(D53&lt;=49, "25-49s", IF(D53&lt;=74, "50-74s", IF(D53&lt;=99, "75-99s", IF(D53&lt;=124, "100-124s", IF(D53&lt;=149, "125-149s", "150s+"))))))</f>
        <v>75-99s</v>
      </c>
    </row>
    <row r="54" spans="1:6" x14ac:dyDescent="0.2">
      <c r="A54">
        <v>20</v>
      </c>
      <c r="B54" t="s">
        <v>22</v>
      </c>
      <c r="C54" s="1">
        <v>0.31307420489999999</v>
      </c>
      <c r="D54" s="3">
        <v>87.005276915151597</v>
      </c>
      <c r="E54" t="str">
        <f>IF(C54&lt;0.1, "&lt;10%", IF(C54&lt;=0.2, "10-20%", IF(C54&lt;=0.3, "20-30%", IF(C54&lt;=0.4, "30-40%", IF(C54&lt;=0.5, "40-50%", IF(C54&lt;=0.6, "50-60%", IF(C54&lt;=0.7, "60-70%", IF(C54&lt;=0.8, "70-80%", IF(C54&lt;=0.9, "80-90%", "&gt;90%")))))))))</f>
        <v>30-40%</v>
      </c>
      <c r="F54" t="str">
        <f>IF(D54&lt;25, "&lt;25s", IF(D54&lt;=49, "25-49s", IF(D54&lt;=74, "50-74s", IF(D54&lt;=99, "75-99s", IF(D54&lt;=124, "100-124s", IF(D54&lt;=149, "125-149s", "150s+"))))))</f>
        <v>75-99s</v>
      </c>
    </row>
    <row r="55" spans="1:6" x14ac:dyDescent="0.2">
      <c r="A55">
        <v>74</v>
      </c>
      <c r="B55" t="s">
        <v>76</v>
      </c>
      <c r="C55" s="1">
        <v>0.79943502820000001</v>
      </c>
      <c r="D55" s="3">
        <v>82.002523373812394</v>
      </c>
      <c r="E55" t="str">
        <f>IF(C55&lt;0.1, "&lt;10%", IF(C55&lt;=0.2, "10-20%", IF(C55&lt;=0.3, "20-30%", IF(C55&lt;=0.4, "30-40%", IF(C55&lt;=0.5, "40-50%", IF(C55&lt;=0.6, "50-60%", IF(C55&lt;=0.7, "60-70%", IF(C55&lt;=0.8, "70-80%", IF(C55&lt;=0.9, "80-90%", "&gt;90%")))))))))</f>
        <v>70-80%</v>
      </c>
      <c r="F55" t="str">
        <f>IF(D55&lt;25, "&lt;25s", IF(D55&lt;=49, "25-49s", IF(D55&lt;=74, "50-74s", IF(D55&lt;=99, "75-99s", IF(D55&lt;=124, "100-124s", IF(D55&lt;=149, "125-149s", "150s+"))))))</f>
        <v>75-99s</v>
      </c>
    </row>
    <row r="56" spans="1:6" x14ac:dyDescent="0.2">
      <c r="A56">
        <v>31</v>
      </c>
      <c r="B56" t="s">
        <v>33</v>
      </c>
      <c r="C56" s="1">
        <v>0.3270072993</v>
      </c>
      <c r="D56" s="3">
        <v>81.052349503152001</v>
      </c>
      <c r="E56" t="str">
        <f>IF(C56&lt;0.1, "&lt;10%", IF(C56&lt;=0.2, "10-20%", IF(C56&lt;=0.3, "20-30%", IF(C56&lt;=0.4, "30-40%", IF(C56&lt;=0.5, "40-50%", IF(C56&lt;=0.6, "50-60%", IF(C56&lt;=0.7, "60-70%", IF(C56&lt;=0.8, "70-80%", IF(C56&lt;=0.9, "80-90%", "&gt;90%")))))))))</f>
        <v>30-40%</v>
      </c>
      <c r="F56" t="str">
        <f>IF(D56&lt;25, "&lt;25s", IF(D56&lt;=49, "25-49s", IF(D56&lt;=74, "50-74s", IF(D56&lt;=99, "75-99s", IF(D56&lt;=124, "100-124s", IF(D56&lt;=149, "125-149s", "150s+"))))))</f>
        <v>75-99s</v>
      </c>
    </row>
    <row r="57" spans="1:6" x14ac:dyDescent="0.2">
      <c r="A57">
        <v>72</v>
      </c>
      <c r="B57" t="s">
        <v>74</v>
      </c>
      <c r="C57" s="1">
        <v>0.73088685019999999</v>
      </c>
      <c r="D57" s="3">
        <v>80.860940676648099</v>
      </c>
      <c r="E57" t="str">
        <f>IF(C57&lt;0.1, "&lt;10%", IF(C57&lt;=0.2, "10-20%", IF(C57&lt;=0.3, "20-30%", IF(C57&lt;=0.4, "30-40%", IF(C57&lt;=0.5, "40-50%", IF(C57&lt;=0.6, "50-60%", IF(C57&lt;=0.7, "60-70%", IF(C57&lt;=0.8, "70-80%", IF(C57&lt;=0.9, "80-90%", "&gt;90%")))))))))</f>
        <v>70-80%</v>
      </c>
      <c r="F57" t="str">
        <f>IF(D57&lt;25, "&lt;25s", IF(D57&lt;=49, "25-49s", IF(D57&lt;=74, "50-74s", IF(D57&lt;=99, "75-99s", IF(D57&lt;=124, "100-124s", IF(D57&lt;=149, "125-149s", "150s+"))))))</f>
        <v>75-99s</v>
      </c>
    </row>
    <row r="58" spans="1:6" x14ac:dyDescent="0.2">
      <c r="A58">
        <v>75</v>
      </c>
      <c r="B58" t="s">
        <v>77</v>
      </c>
      <c r="C58" s="1">
        <v>0.79046242769999997</v>
      </c>
      <c r="D58" s="3">
        <v>80.066239619627595</v>
      </c>
      <c r="E58" t="str">
        <f>IF(C58&lt;0.1, "&lt;10%", IF(C58&lt;=0.2, "10-20%", IF(C58&lt;=0.3, "20-30%", IF(C58&lt;=0.4, "30-40%", IF(C58&lt;=0.5, "40-50%", IF(C58&lt;=0.6, "50-60%", IF(C58&lt;=0.7, "60-70%", IF(C58&lt;=0.8, "70-80%", IF(C58&lt;=0.9, "80-90%", "&gt;90%")))))))))</f>
        <v>70-80%</v>
      </c>
      <c r="F58" t="str">
        <f>IF(D58&lt;25, "&lt;25s", IF(D58&lt;=49, "25-49s", IF(D58&lt;=74, "50-74s", IF(D58&lt;=99, "75-99s", IF(D58&lt;=124, "100-124s", IF(D58&lt;=149, "125-149s", "150s+"))))))</f>
        <v>75-99s</v>
      </c>
    </row>
    <row r="59" spans="1:6" x14ac:dyDescent="0.2">
      <c r="A59">
        <v>65</v>
      </c>
      <c r="B59" t="s">
        <v>67</v>
      </c>
      <c r="C59" s="1">
        <v>0.7124277457</v>
      </c>
      <c r="D59" s="3">
        <v>79.859201128128902</v>
      </c>
      <c r="E59" t="str">
        <f>IF(C59&lt;0.1, "&lt;10%", IF(C59&lt;=0.2, "10-20%", IF(C59&lt;=0.3, "20-30%", IF(C59&lt;=0.4, "30-40%", IF(C59&lt;=0.5, "40-50%", IF(C59&lt;=0.6, "50-60%", IF(C59&lt;=0.7, "60-70%", IF(C59&lt;=0.8, "70-80%", IF(C59&lt;=0.9, "80-90%", "&gt;90%")))))))))</f>
        <v>70-80%</v>
      </c>
      <c r="F59" t="str">
        <f>IF(D59&lt;25, "&lt;25s", IF(D59&lt;=49, "25-49s", IF(D59&lt;=74, "50-74s", IF(D59&lt;=99, "75-99s", IF(D59&lt;=124, "100-124s", IF(D59&lt;=149, "125-149s", "150s+"))))))</f>
        <v>75-99s</v>
      </c>
    </row>
    <row r="60" spans="1:6" x14ac:dyDescent="0.2">
      <c r="A60">
        <v>58</v>
      </c>
      <c r="B60" t="s">
        <v>60</v>
      </c>
      <c r="C60" s="1">
        <v>0.57158962800000002</v>
      </c>
      <c r="D60" s="3">
        <v>77.440756077412502</v>
      </c>
      <c r="E60" t="str">
        <f>IF(C60&lt;0.1, "&lt;10%", IF(C60&lt;=0.2, "10-20%", IF(C60&lt;=0.3, "20-30%", IF(C60&lt;=0.4, "30-40%", IF(C60&lt;=0.5, "40-50%", IF(C60&lt;=0.6, "50-60%", IF(C60&lt;=0.7, "60-70%", IF(C60&lt;=0.8, "70-80%", IF(C60&lt;=0.9, "80-90%", "&gt;90%")))))))))</f>
        <v>50-60%</v>
      </c>
      <c r="F60" t="str">
        <f>IF(D60&lt;25, "&lt;25s", IF(D60&lt;=49, "25-49s", IF(D60&lt;=74, "50-74s", IF(D60&lt;=99, "75-99s", IF(D60&lt;=124, "100-124s", IF(D60&lt;=149, "125-149s", "150s+"))))))</f>
        <v>75-99s</v>
      </c>
    </row>
    <row r="61" spans="1:6" x14ac:dyDescent="0.2">
      <c r="A61">
        <v>63</v>
      </c>
      <c r="B61" t="s">
        <v>65</v>
      </c>
      <c r="C61" s="1">
        <v>0.61199095020000005</v>
      </c>
      <c r="D61" s="3">
        <v>74.040505914017501</v>
      </c>
      <c r="E61" t="str">
        <f>IF(C61&lt;0.1, "&lt;10%", IF(C61&lt;=0.2, "10-20%", IF(C61&lt;=0.3, "20-30%", IF(C61&lt;=0.4, "30-40%", IF(C61&lt;=0.5, "40-50%", IF(C61&lt;=0.6, "50-60%", IF(C61&lt;=0.7, "60-70%", IF(C61&lt;=0.8, "70-80%", IF(C61&lt;=0.9, "80-90%", "&gt;90%")))))))))</f>
        <v>60-70%</v>
      </c>
      <c r="F61" t="str">
        <f>IF(D61&lt;25, "&lt;25s", IF(D61&lt;=49, "25-49s", IF(D61&lt;=74, "50-74s", IF(D61&lt;=99, "75-99s", IF(D61&lt;=124, "100-124s", IF(D61&lt;=149, "125-149s", "150s+"))))))</f>
        <v>75-99s</v>
      </c>
    </row>
    <row r="62" spans="1:6" x14ac:dyDescent="0.2">
      <c r="A62">
        <v>26</v>
      </c>
      <c r="B62" t="s">
        <v>28</v>
      </c>
      <c r="C62" s="1">
        <v>0.30897832819999999</v>
      </c>
      <c r="D62" s="3">
        <v>70.083100309129804</v>
      </c>
      <c r="E62" t="str">
        <f>IF(C62&lt;0.1, "&lt;10%", IF(C62&lt;=0.2, "10-20%", IF(C62&lt;=0.3, "20-30%", IF(C62&lt;=0.4, "30-40%", IF(C62&lt;=0.5, "40-50%", IF(C62&lt;=0.6, "50-60%", IF(C62&lt;=0.7, "60-70%", IF(C62&lt;=0.8, "70-80%", IF(C62&lt;=0.9, "80-90%", "&gt;90%")))))))))</f>
        <v>30-40%</v>
      </c>
      <c r="F62" t="str">
        <f>IF(D62&lt;25, "&lt;25s", IF(D62&lt;=49, "25-49s", IF(D62&lt;=74, "50-74s", IF(D62&lt;=99, "75-99s", IF(D62&lt;=124, "100-124s", IF(D62&lt;=149, "125-149s", "150s+"))))))</f>
        <v>50-74s</v>
      </c>
    </row>
    <row r="63" spans="1:6" x14ac:dyDescent="0.2">
      <c r="A63">
        <v>2</v>
      </c>
      <c r="B63" t="s">
        <v>5</v>
      </c>
      <c r="C63" s="1">
        <v>0.13123147399999999</v>
      </c>
      <c r="D63" s="3">
        <v>69.826299471314996</v>
      </c>
      <c r="E63" t="str">
        <f>IF(C63&lt;0.1, "&lt;10%", IF(C63&lt;=0.2, "10-20%", IF(C63&lt;=0.3, "20-30%", IF(C63&lt;=0.4, "30-40%", IF(C63&lt;=0.5, "40-50%", IF(C63&lt;=0.6, "50-60%", IF(C63&lt;=0.7, "60-70%", IF(C63&lt;=0.8, "70-80%", IF(C63&lt;=0.9, "80-90%", "&gt;90%")))))))))</f>
        <v>10-20%</v>
      </c>
      <c r="F63" t="str">
        <f>IF(D63&lt;25, "&lt;25s", IF(D63&lt;=49, "25-49s", IF(D63&lt;=74, "50-74s", IF(D63&lt;=99, "75-99s", IF(D63&lt;=124, "100-124s", IF(D63&lt;=149, "125-149s", "150s+"))))))</f>
        <v>50-74s</v>
      </c>
    </row>
    <row r="64" spans="1:6" x14ac:dyDescent="0.2">
      <c r="A64">
        <v>67</v>
      </c>
      <c r="B64" t="s">
        <v>69</v>
      </c>
      <c r="C64" s="1">
        <v>0.79129129129999998</v>
      </c>
      <c r="D64" s="3">
        <v>68.702517107594701</v>
      </c>
      <c r="E64" t="str">
        <f>IF(C64&lt;0.1, "&lt;10%", IF(C64&lt;=0.2, "10-20%", IF(C64&lt;=0.3, "20-30%", IF(C64&lt;=0.4, "30-40%", IF(C64&lt;=0.5, "40-50%", IF(C64&lt;=0.6, "50-60%", IF(C64&lt;=0.7, "60-70%", IF(C64&lt;=0.8, "70-80%", IF(C64&lt;=0.9, "80-90%", "&gt;90%")))))))))</f>
        <v>70-80%</v>
      </c>
      <c r="F64" t="str">
        <f>IF(D64&lt;25, "&lt;25s", IF(D64&lt;=49, "25-49s", IF(D64&lt;=74, "50-74s", IF(D64&lt;=99, "75-99s", IF(D64&lt;=124, "100-124s", IF(D64&lt;=149, "125-149s", "150s+"))))))</f>
        <v>50-74s</v>
      </c>
    </row>
    <row r="65" spans="1:6" x14ac:dyDescent="0.2">
      <c r="A65">
        <v>55</v>
      </c>
      <c r="B65" t="s">
        <v>57</v>
      </c>
      <c r="C65" s="1">
        <v>0.49788135589999999</v>
      </c>
      <c r="D65" s="3">
        <v>66.719591554719898</v>
      </c>
      <c r="E65" t="str">
        <f>IF(C65&lt;0.1, "&lt;10%", IF(C65&lt;=0.2, "10-20%", IF(C65&lt;=0.3, "20-30%", IF(C65&lt;=0.4, "30-40%", IF(C65&lt;=0.5, "40-50%", IF(C65&lt;=0.6, "50-60%", IF(C65&lt;=0.7, "60-70%", IF(C65&lt;=0.8, "70-80%", IF(C65&lt;=0.9, "80-90%", "&gt;90%")))))))))</f>
        <v>40-50%</v>
      </c>
      <c r="F65" t="str">
        <f>IF(D65&lt;25, "&lt;25s", IF(D65&lt;=49, "25-49s", IF(D65&lt;=74, "50-74s", IF(D65&lt;=99, "75-99s", IF(D65&lt;=124, "100-124s", IF(D65&lt;=149, "125-149s", "150s+"))))))</f>
        <v>50-74s</v>
      </c>
    </row>
    <row r="66" spans="1:6" x14ac:dyDescent="0.2">
      <c r="A66">
        <v>23</v>
      </c>
      <c r="B66" t="s">
        <v>25</v>
      </c>
      <c r="C66" s="1">
        <v>0.30846394980000003</v>
      </c>
      <c r="D66" s="3">
        <v>61.821378192398697</v>
      </c>
      <c r="E66" t="str">
        <f>IF(C66&lt;0.1, "&lt;10%", IF(C66&lt;=0.2, "10-20%", IF(C66&lt;=0.3, "20-30%", IF(C66&lt;=0.4, "30-40%", IF(C66&lt;=0.5, "40-50%", IF(C66&lt;=0.6, "50-60%", IF(C66&lt;=0.7, "60-70%", IF(C66&lt;=0.8, "70-80%", IF(C66&lt;=0.9, "80-90%", "&gt;90%")))))))))</f>
        <v>30-40%</v>
      </c>
      <c r="F66" t="str">
        <f>IF(D66&lt;25, "&lt;25s", IF(D66&lt;=49, "25-49s", IF(D66&lt;=74, "50-74s", IF(D66&lt;=99, "75-99s", IF(D66&lt;=124, "100-124s", IF(D66&lt;=149, "125-149s", "150s+"))))))</f>
        <v>50-74s</v>
      </c>
    </row>
    <row r="67" spans="1:6" x14ac:dyDescent="0.2">
      <c r="A67">
        <v>12</v>
      </c>
      <c r="B67" t="s">
        <v>14</v>
      </c>
      <c r="C67" s="1">
        <v>0.26953567379999999</v>
      </c>
      <c r="D67" s="3">
        <v>60.896186234895097</v>
      </c>
      <c r="E67" t="str">
        <f>IF(C67&lt;0.1, "&lt;10%", IF(C67&lt;=0.2, "10-20%", IF(C67&lt;=0.3, "20-30%", IF(C67&lt;=0.4, "30-40%", IF(C67&lt;=0.5, "40-50%", IF(C67&lt;=0.6, "50-60%", IF(C67&lt;=0.7, "60-70%", IF(C67&lt;=0.8, "70-80%", IF(C67&lt;=0.9, "80-90%", "&gt;90%")))))))))</f>
        <v>20-30%</v>
      </c>
      <c r="F67" t="str">
        <f>IF(D67&lt;25, "&lt;25s", IF(D67&lt;=49, "25-49s", IF(D67&lt;=74, "50-74s", IF(D67&lt;=99, "75-99s", IF(D67&lt;=124, "100-124s", IF(D67&lt;=149, "125-149s", "150s+"))))))</f>
        <v>50-74s</v>
      </c>
    </row>
    <row r="68" spans="1:6" x14ac:dyDescent="0.2">
      <c r="A68">
        <v>6</v>
      </c>
      <c r="B68" t="s">
        <v>8</v>
      </c>
      <c r="C68" s="1">
        <v>0.18813263529999999</v>
      </c>
      <c r="D68" s="3">
        <v>60.252289655618299</v>
      </c>
      <c r="E68" t="str">
        <f>IF(C68&lt;0.1, "&lt;10%", IF(C68&lt;=0.2, "10-20%", IF(C68&lt;=0.3, "20-30%", IF(C68&lt;=0.4, "30-40%", IF(C68&lt;=0.5, "40-50%", IF(C68&lt;=0.6, "50-60%", IF(C68&lt;=0.7, "60-70%", IF(C68&lt;=0.8, "70-80%", IF(C68&lt;=0.9, "80-90%", "&gt;90%")))))))))</f>
        <v>10-20%</v>
      </c>
      <c r="F68" t="str">
        <f>IF(D68&lt;25, "&lt;25s", IF(D68&lt;=49, "25-49s", IF(D68&lt;=74, "50-74s", IF(D68&lt;=99, "75-99s", IF(D68&lt;=124, "100-124s", IF(D68&lt;=149, "125-149s", "150s+"))))))</f>
        <v>50-74s</v>
      </c>
    </row>
    <row r="69" spans="1:6" x14ac:dyDescent="0.2">
      <c r="A69">
        <v>35</v>
      </c>
      <c r="B69" t="s">
        <v>37</v>
      </c>
      <c r="C69" s="1">
        <v>0.375</v>
      </c>
      <c r="D69" s="3">
        <v>57.932640211656597</v>
      </c>
      <c r="E69" t="str">
        <f>IF(C69&lt;0.1, "&lt;10%", IF(C69&lt;=0.2, "10-20%", IF(C69&lt;=0.3, "20-30%", IF(C69&lt;=0.4, "30-40%", IF(C69&lt;=0.5, "40-50%", IF(C69&lt;=0.6, "50-60%", IF(C69&lt;=0.7, "60-70%", IF(C69&lt;=0.8, "70-80%", IF(C69&lt;=0.9, "80-90%", "&gt;90%")))))))))</f>
        <v>30-40%</v>
      </c>
      <c r="F69" t="str">
        <f>IF(D69&lt;25, "&lt;25s", IF(D69&lt;=49, "25-49s", IF(D69&lt;=74, "50-74s", IF(D69&lt;=99, "75-99s", IF(D69&lt;=124, "100-124s", IF(D69&lt;=149, "125-149s", "150s+"))))))</f>
        <v>50-74s</v>
      </c>
    </row>
    <row r="70" spans="1:6" x14ac:dyDescent="0.2">
      <c r="A70">
        <v>13</v>
      </c>
      <c r="B70" t="s">
        <v>15</v>
      </c>
      <c r="C70" s="1">
        <v>0.24171122989999999</v>
      </c>
      <c r="D70" s="3">
        <v>56.483512879349199</v>
      </c>
      <c r="E70" t="str">
        <f>IF(C70&lt;0.1, "&lt;10%", IF(C70&lt;=0.2, "10-20%", IF(C70&lt;=0.3, "20-30%", IF(C70&lt;=0.4, "30-40%", IF(C70&lt;=0.5, "40-50%", IF(C70&lt;=0.6, "50-60%", IF(C70&lt;=0.7, "60-70%", IF(C70&lt;=0.8, "70-80%", IF(C70&lt;=0.9, "80-90%", "&gt;90%")))))))))</f>
        <v>20-30%</v>
      </c>
      <c r="F70" t="str">
        <f>IF(D70&lt;25, "&lt;25s", IF(D70&lt;=49, "25-49s", IF(D70&lt;=74, "50-74s", IF(D70&lt;=99, "75-99s", IF(D70&lt;=124, "100-124s", IF(D70&lt;=149, "125-149s", "150s+"))))))</f>
        <v>50-74s</v>
      </c>
    </row>
    <row r="71" spans="1:6" x14ac:dyDescent="0.2">
      <c r="A71">
        <v>25</v>
      </c>
      <c r="B71" t="s">
        <v>27</v>
      </c>
      <c r="C71" s="1">
        <v>0.32042723629999997</v>
      </c>
      <c r="D71" s="3">
        <v>48.833264394197599</v>
      </c>
      <c r="E71" t="str">
        <f>IF(C71&lt;0.1, "&lt;10%", IF(C71&lt;=0.2, "10-20%", IF(C71&lt;=0.3, "20-30%", IF(C71&lt;=0.4, "30-40%", IF(C71&lt;=0.5, "40-50%", IF(C71&lt;=0.6, "50-60%", IF(C71&lt;=0.7, "60-70%", IF(C71&lt;=0.8, "70-80%", IF(C71&lt;=0.9, "80-90%", "&gt;90%")))))))))</f>
        <v>30-40%</v>
      </c>
      <c r="F71" t="str">
        <f>IF(D71&lt;25, "&lt;25s", IF(D71&lt;=49, "25-49s", IF(D71&lt;=74, "50-74s", IF(D71&lt;=99, "75-99s", IF(D71&lt;=124, "100-124s", IF(D71&lt;=149, "125-149s", "150s+"))))))</f>
        <v>25-49s</v>
      </c>
    </row>
    <row r="72" spans="1:6" x14ac:dyDescent="0.2">
      <c r="A72">
        <v>39</v>
      </c>
      <c r="B72" t="s">
        <v>41</v>
      </c>
      <c r="C72" s="1">
        <v>0.41102941180000002</v>
      </c>
      <c r="D72" s="3">
        <v>46.191543883178298</v>
      </c>
      <c r="E72" t="str">
        <f>IF(C72&lt;0.1, "&lt;10%", IF(C72&lt;=0.2, "10-20%", IF(C72&lt;=0.3, "20-30%", IF(C72&lt;=0.4, "30-40%", IF(C72&lt;=0.5, "40-50%", IF(C72&lt;=0.6, "50-60%", IF(C72&lt;=0.7, "60-70%", IF(C72&lt;=0.8, "70-80%", IF(C72&lt;=0.9, "80-90%", "&gt;90%")))))))))</f>
        <v>40-50%</v>
      </c>
      <c r="F72" t="str">
        <f>IF(D72&lt;25, "&lt;25s", IF(D72&lt;=49, "25-49s", IF(D72&lt;=74, "50-74s", IF(D72&lt;=99, "75-99s", IF(D72&lt;=124, "100-124s", IF(D72&lt;=149, "125-149s", "150s+"))))))</f>
        <v>25-49s</v>
      </c>
    </row>
    <row r="73" spans="1:6" x14ac:dyDescent="0.2">
      <c r="A73">
        <v>57</v>
      </c>
      <c r="B73" t="s">
        <v>59</v>
      </c>
      <c r="C73" s="1">
        <v>0.67517401389999998</v>
      </c>
      <c r="D73" s="3">
        <v>44.919924025889401</v>
      </c>
      <c r="E73" t="str">
        <f>IF(C73&lt;0.1, "&lt;10%", IF(C73&lt;=0.2, "10-20%", IF(C73&lt;=0.3, "20-30%", IF(C73&lt;=0.4, "30-40%", IF(C73&lt;=0.5, "40-50%", IF(C73&lt;=0.6, "50-60%", IF(C73&lt;=0.7, "60-70%", IF(C73&lt;=0.8, "70-80%", IF(C73&lt;=0.9, "80-90%", "&gt;90%")))))))))</f>
        <v>60-70%</v>
      </c>
      <c r="F73" t="str">
        <f>IF(D73&lt;25, "&lt;25s", IF(D73&lt;=49, "25-49s", IF(D73&lt;=74, "50-74s", IF(D73&lt;=99, "75-99s", IF(D73&lt;=124, "100-124s", IF(D73&lt;=149, "125-149s", "150s+"))))))</f>
        <v>25-49s</v>
      </c>
    </row>
    <row r="74" spans="1:6" x14ac:dyDescent="0.2">
      <c r="A74">
        <v>70</v>
      </c>
      <c r="B74" t="s">
        <v>72</v>
      </c>
      <c r="C74" s="1">
        <v>0.84878744650000004</v>
      </c>
      <c r="D74" s="3">
        <v>42.637037155218401</v>
      </c>
      <c r="E74" t="str">
        <f>IF(C74&lt;0.1, "&lt;10%", IF(C74&lt;=0.2, "10-20%", IF(C74&lt;=0.3, "20-30%", IF(C74&lt;=0.4, "30-40%", IF(C74&lt;=0.5, "40-50%", IF(C74&lt;=0.6, "50-60%", IF(C74&lt;=0.7, "60-70%", IF(C74&lt;=0.8, "70-80%", IF(C74&lt;=0.9, "80-90%", "&gt;90%")))))))))</f>
        <v>80-90%</v>
      </c>
      <c r="F74" t="str">
        <f>IF(D74&lt;25, "&lt;25s", IF(D74&lt;=49, "25-49s", IF(D74&lt;=74, "50-74s", IF(D74&lt;=99, "75-99s", IF(D74&lt;=124, "100-124s", IF(D74&lt;=149, "125-149s", "150s+"))))))</f>
        <v>25-49s</v>
      </c>
    </row>
    <row r="75" spans="1:6" x14ac:dyDescent="0.2">
      <c r="A75">
        <v>56</v>
      </c>
      <c r="B75" t="s">
        <v>58</v>
      </c>
      <c r="C75" s="1">
        <v>0.5715922108</v>
      </c>
      <c r="D75" s="3">
        <v>40.601857071742401</v>
      </c>
      <c r="E75" t="str">
        <f>IF(C75&lt;0.1, "&lt;10%", IF(C75&lt;=0.2, "10-20%", IF(C75&lt;=0.3, "20-30%", IF(C75&lt;=0.4, "30-40%", IF(C75&lt;=0.5, "40-50%", IF(C75&lt;=0.6, "50-60%", IF(C75&lt;=0.7, "60-70%", IF(C75&lt;=0.8, "70-80%", IF(C75&lt;=0.9, "80-90%", "&gt;90%")))))))))</f>
        <v>50-60%</v>
      </c>
      <c r="F75" t="str">
        <f>IF(D75&lt;25, "&lt;25s", IF(D75&lt;=49, "25-49s", IF(D75&lt;=74, "50-74s", IF(D75&lt;=99, "75-99s", IF(D75&lt;=124, "100-124s", IF(D75&lt;=149, "125-149s", "150s+"))))))</f>
        <v>25-49s</v>
      </c>
    </row>
    <row r="76" spans="1:6" x14ac:dyDescent="0.2">
      <c r="A76">
        <v>11</v>
      </c>
      <c r="B76" t="s">
        <v>13</v>
      </c>
      <c r="C76" s="1">
        <v>0.24466423740000001</v>
      </c>
      <c r="D76" s="3">
        <v>39.267940570134598</v>
      </c>
      <c r="E76" t="str">
        <f>IF(C76&lt;0.1, "&lt;10%", IF(C76&lt;=0.2, "10-20%", IF(C76&lt;=0.3, "20-30%", IF(C76&lt;=0.4, "30-40%", IF(C76&lt;=0.5, "40-50%", IF(C76&lt;=0.6, "50-60%", IF(C76&lt;=0.7, "60-70%", IF(C76&lt;=0.8, "70-80%", IF(C76&lt;=0.9, "80-90%", "&gt;90%")))))))))</f>
        <v>20-30%</v>
      </c>
      <c r="F76" t="str">
        <f>IF(D76&lt;25, "&lt;25s", IF(D76&lt;=49, "25-49s", IF(D76&lt;=74, "50-74s", IF(D76&lt;=99, "75-99s", IF(D76&lt;=124, "100-124s", IF(D76&lt;=149, "125-149s", "150s+"))))))</f>
        <v>25-49s</v>
      </c>
    </row>
    <row r="77" spans="1:6" x14ac:dyDescent="0.2">
      <c r="A77">
        <v>48</v>
      </c>
      <c r="B77" t="s">
        <v>50</v>
      </c>
      <c r="C77" s="1">
        <v>0.49395348839999997</v>
      </c>
      <c r="D77" s="3">
        <v>33.4996803500689</v>
      </c>
      <c r="E77" t="str">
        <f>IF(C77&lt;0.1, "&lt;10%", IF(C77&lt;=0.2, "10-20%", IF(C77&lt;=0.3, "20-30%", IF(C77&lt;=0.4, "30-40%", IF(C77&lt;=0.5, "40-50%", IF(C77&lt;=0.6, "50-60%", IF(C77&lt;=0.7, "60-70%", IF(C77&lt;=0.8, "70-80%", IF(C77&lt;=0.9, "80-90%", "&gt;90%")))))))))</f>
        <v>40-50%</v>
      </c>
      <c r="F77" t="str">
        <f>IF(D77&lt;25, "&lt;25s", IF(D77&lt;=49, "25-49s", IF(D77&lt;=74, "50-74s", IF(D77&lt;=99, "75-99s", IF(D77&lt;=124, "100-124s", IF(D77&lt;=149, "125-149s", "150s+"))))))</f>
        <v>25-49s</v>
      </c>
    </row>
    <row r="78" spans="1:6" x14ac:dyDescent="0.2">
      <c r="A78">
        <v>28</v>
      </c>
      <c r="B78" t="s">
        <v>30</v>
      </c>
      <c r="C78" s="1">
        <v>0.41253507950000001</v>
      </c>
      <c r="D78" s="3">
        <v>32.008549973834299</v>
      </c>
      <c r="E78" t="str">
        <f>IF(C78&lt;0.1, "&lt;10%", IF(C78&lt;=0.2, "10-20%", IF(C78&lt;=0.3, "20-30%", IF(C78&lt;=0.4, "30-40%", IF(C78&lt;=0.5, "40-50%", IF(C78&lt;=0.6, "50-60%", IF(C78&lt;=0.7, "60-70%", IF(C78&lt;=0.8, "70-80%", IF(C78&lt;=0.9, "80-90%", "&gt;90%")))))))))</f>
        <v>40-50%</v>
      </c>
      <c r="F78" t="str">
        <f>IF(D78&lt;25, "&lt;25s", IF(D78&lt;=49, "25-49s", IF(D78&lt;=74, "50-74s", IF(D78&lt;=99, "75-99s", IF(D78&lt;=124, "100-124s", IF(D78&lt;=149, "125-149s", "150s+"))))))</f>
        <v>25-49s</v>
      </c>
    </row>
  </sheetData>
  <sortState xmlns:xlrd2="http://schemas.microsoft.com/office/spreadsheetml/2017/richdata2" ref="A2:F78">
    <sortCondition descending="1" ref="D2:D78"/>
  </sortState>
  <conditionalFormatting sqref="D1:D78">
    <cfRule type="colorScale" priority="1">
      <colorScale>
        <cfvo type="min"/>
        <cfvo type="percentile" val="50"/>
        <cfvo type="max"/>
        <color rgb="FFF8696B"/>
        <color rgb="FFFFEB84"/>
        <color rgb="FF63BE7B"/>
      </colorScale>
    </cfRule>
  </conditionalFormatting>
  <pageMargins left="0.75" right="0.75" top="1" bottom="1" header="0.5" footer="0.5"/>
  <drawing r:id="rId1"/>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FF97-BDE4-2F4F-8E95-625E8D2B7AC8}">
  <dimension ref="A1:S130"/>
  <sheetViews>
    <sheetView zoomScale="84" workbookViewId="0">
      <selection activeCell="A3" sqref="A3:H3"/>
    </sheetView>
  </sheetViews>
  <sheetFormatPr baseColWidth="10" defaultRowHeight="16" x14ac:dyDescent="0.2"/>
  <cols>
    <col min="1" max="1" width="12.6640625" bestFit="1" customWidth="1"/>
    <col min="3" max="3" width="9.83203125" customWidth="1"/>
    <col min="5" max="5" width="10.1640625" customWidth="1"/>
    <col min="6" max="6" width="10.1640625" style="2" customWidth="1"/>
    <col min="7" max="8" width="10.83203125" style="2"/>
    <col min="9" max="9" width="20.1640625" style="2" customWidth="1"/>
    <col min="11" max="11" width="10.5" bestFit="1" customWidth="1"/>
    <col min="12" max="12" width="27.6640625" bestFit="1" customWidth="1"/>
    <col min="13" max="13" width="13.33203125" bestFit="1" customWidth="1"/>
    <col min="14" max="14" width="9.83203125" customWidth="1"/>
    <col min="15" max="15" width="12.5" bestFit="1" customWidth="1"/>
    <col min="16" max="16" width="21.83203125" bestFit="1" customWidth="1"/>
  </cols>
  <sheetData>
    <row r="1" spans="1:19" x14ac:dyDescent="0.2">
      <c r="A1" s="5" t="s">
        <v>109</v>
      </c>
      <c r="B1" s="4"/>
      <c r="C1" s="4"/>
      <c r="D1" s="4"/>
      <c r="E1" s="4"/>
      <c r="F1" s="4"/>
      <c r="G1" s="4"/>
      <c r="H1" s="4"/>
      <c r="I1" s="4"/>
    </row>
    <row r="2" spans="1:19" x14ac:dyDescent="0.2">
      <c r="A2" t="s">
        <v>82</v>
      </c>
      <c r="B2" t="s">
        <v>95</v>
      </c>
      <c r="C2" t="s">
        <v>104</v>
      </c>
      <c r="D2" t="s">
        <v>105</v>
      </c>
      <c r="E2" t="s">
        <v>106</v>
      </c>
      <c r="F2" s="2" t="s">
        <v>99</v>
      </c>
      <c r="G2" s="2" t="s">
        <v>100</v>
      </c>
      <c r="H2" s="2" t="s">
        <v>101</v>
      </c>
      <c r="I2" s="2" t="s">
        <v>102</v>
      </c>
      <c r="K2" t="s">
        <v>0</v>
      </c>
      <c r="L2" t="s">
        <v>1</v>
      </c>
      <c r="M2" s="1" t="s">
        <v>2</v>
      </c>
      <c r="N2" s="6" t="s">
        <v>107</v>
      </c>
      <c r="O2" s="6" t="s">
        <v>108</v>
      </c>
      <c r="P2" s="3" t="s">
        <v>3</v>
      </c>
      <c r="R2" s="4" t="s">
        <v>103</v>
      </c>
      <c r="S2" s="4"/>
    </row>
    <row r="3" spans="1:19" x14ac:dyDescent="0.2">
      <c r="A3">
        <v>1</v>
      </c>
      <c r="B3" t="s">
        <v>83</v>
      </c>
      <c r="C3">
        <v>1</v>
      </c>
      <c r="D3">
        <v>32</v>
      </c>
      <c r="E3">
        <v>19</v>
      </c>
      <c r="F3" s="2">
        <f>VLOOKUP(C3,$R$3:$S$13,2,FALSE)</f>
        <v>164.504580020438</v>
      </c>
      <c r="G3" s="2">
        <f t="shared" ref="G3:H3" si="0">VLOOKUP(D3,$R$3:$S$13,2,FALSE)</f>
        <v>102.312017320655</v>
      </c>
      <c r="H3" s="2">
        <f t="shared" si="0"/>
        <v>178.785914224572</v>
      </c>
      <c r="I3" s="2">
        <f>F3+G3+H3</f>
        <v>445.60251156566505</v>
      </c>
      <c r="K3">
        <v>19</v>
      </c>
      <c r="L3" t="s">
        <v>21</v>
      </c>
      <c r="M3" s="1">
        <v>0.30492676429999999</v>
      </c>
      <c r="N3" s="2">
        <f>10/M3</f>
        <v>32.794759826859845</v>
      </c>
      <c r="O3" s="2">
        <f>COUNTIF(E:E, K3) + COUNTIF(C:C, K3) + COUNTIF(D:D, K3)</f>
        <v>33</v>
      </c>
      <c r="P3" s="3">
        <v>178.785914224572</v>
      </c>
      <c r="R3" t="s">
        <v>0</v>
      </c>
      <c r="S3" s="3" t="s">
        <v>3</v>
      </c>
    </row>
    <row r="4" spans="1:19" x14ac:dyDescent="0.2">
      <c r="A4">
        <f>A3+1</f>
        <v>2</v>
      </c>
      <c r="B4" t="s">
        <v>83</v>
      </c>
      <c r="C4">
        <v>1</v>
      </c>
      <c r="D4">
        <v>32</v>
      </c>
      <c r="E4">
        <v>19</v>
      </c>
      <c r="F4" s="2">
        <f t="shared" ref="F4:F67" si="1">VLOOKUP(C4,$R$3:$S$13,2,FALSE)</f>
        <v>164.504580020438</v>
      </c>
      <c r="G4" s="2">
        <f t="shared" ref="G4:G67" si="2">VLOOKUP(D4,$R$3:$S$13,2,FALSE)</f>
        <v>102.312017320655</v>
      </c>
      <c r="H4" s="2">
        <f t="shared" ref="H4:H67" si="3">VLOOKUP(E4,$R$3:$S$13,2,FALSE)</f>
        <v>178.785914224572</v>
      </c>
      <c r="I4" s="2">
        <f t="shared" ref="I4:I67" si="4">F4+G4+H4</f>
        <v>445.60251156566505</v>
      </c>
      <c r="K4">
        <v>8</v>
      </c>
      <c r="L4" t="s">
        <v>10</v>
      </c>
      <c r="M4" s="1">
        <v>0.27385892119999999</v>
      </c>
      <c r="N4" s="2">
        <f t="shared" ref="N4:N12" si="5">10/M4</f>
        <v>36.515151510061528</v>
      </c>
      <c r="O4" s="2">
        <f>COUNTIF(E:E, K4) + COUNTIF(C:C, K4) + COUNTIF(D:D, K4)</f>
        <v>37</v>
      </c>
      <c r="P4" s="3">
        <v>171.70129029080201</v>
      </c>
      <c r="R4">
        <v>19</v>
      </c>
      <c r="S4" s="3">
        <v>178.785914224572</v>
      </c>
    </row>
    <row r="5" spans="1:19" x14ac:dyDescent="0.2">
      <c r="A5">
        <f t="shared" ref="A5:A68" si="6">A4+1</f>
        <v>3</v>
      </c>
      <c r="B5" t="s">
        <v>84</v>
      </c>
      <c r="C5">
        <v>1</v>
      </c>
      <c r="D5">
        <v>32</v>
      </c>
      <c r="E5">
        <v>19</v>
      </c>
      <c r="F5" s="2">
        <f t="shared" si="1"/>
        <v>164.504580020438</v>
      </c>
      <c r="G5" s="2">
        <f t="shared" si="2"/>
        <v>102.312017320655</v>
      </c>
      <c r="H5" s="2">
        <f t="shared" si="3"/>
        <v>178.785914224572</v>
      </c>
      <c r="I5" s="2">
        <f t="shared" si="4"/>
        <v>445.60251156566505</v>
      </c>
      <c r="K5">
        <v>7</v>
      </c>
      <c r="L5" t="s">
        <v>9</v>
      </c>
      <c r="M5" s="1">
        <v>0.22675848500000001</v>
      </c>
      <c r="N5" s="2">
        <f t="shared" si="5"/>
        <v>44.099783079781993</v>
      </c>
      <c r="O5" s="2">
        <f>COUNTIF(E:E, K5) + COUNTIF(C:C, K5) + COUNTIF(D:D, K5)</f>
        <v>44</v>
      </c>
      <c r="P5" s="3">
        <v>164.75845274515399</v>
      </c>
      <c r="R5">
        <v>8</v>
      </c>
      <c r="S5" s="3">
        <v>171.70129029080201</v>
      </c>
    </row>
    <row r="6" spans="1:19" x14ac:dyDescent="0.2">
      <c r="A6">
        <f t="shared" si="6"/>
        <v>4</v>
      </c>
      <c r="B6" t="s">
        <v>84</v>
      </c>
      <c r="C6">
        <v>1</v>
      </c>
      <c r="D6">
        <v>32</v>
      </c>
      <c r="E6">
        <v>19</v>
      </c>
      <c r="F6" s="2">
        <f t="shared" si="1"/>
        <v>164.504580020438</v>
      </c>
      <c r="G6" s="2">
        <f t="shared" si="2"/>
        <v>102.312017320655</v>
      </c>
      <c r="H6" s="2">
        <f t="shared" si="3"/>
        <v>178.785914224572</v>
      </c>
      <c r="I6" s="2">
        <f t="shared" si="4"/>
        <v>445.60251156566505</v>
      </c>
      <c r="K6">
        <v>1</v>
      </c>
      <c r="L6" t="s">
        <v>4</v>
      </c>
      <c r="M6" s="1">
        <v>9.5620842600000006E-2</v>
      </c>
      <c r="N6" s="2">
        <f t="shared" si="5"/>
        <v>104.57971011437206</v>
      </c>
      <c r="O6" s="2">
        <f>COUNTIF(E:E, K6) + COUNTIF(C:C, K6) + COUNTIF(D:D, K6)</f>
        <v>105</v>
      </c>
      <c r="P6" s="3">
        <v>164.504580020438</v>
      </c>
      <c r="R6">
        <v>7</v>
      </c>
      <c r="S6" s="3">
        <v>164.75845274515399</v>
      </c>
    </row>
    <row r="7" spans="1:19" x14ac:dyDescent="0.2">
      <c r="A7">
        <f t="shared" si="6"/>
        <v>5</v>
      </c>
      <c r="B7" t="s">
        <v>85</v>
      </c>
      <c r="C7">
        <v>1</v>
      </c>
      <c r="D7">
        <v>32</v>
      </c>
      <c r="E7">
        <v>19</v>
      </c>
      <c r="F7" s="2">
        <f t="shared" si="1"/>
        <v>164.504580020438</v>
      </c>
      <c r="G7" s="2">
        <f t="shared" si="2"/>
        <v>102.312017320655</v>
      </c>
      <c r="H7" s="2">
        <f t="shared" si="3"/>
        <v>178.785914224572</v>
      </c>
      <c r="I7" s="2">
        <f t="shared" si="4"/>
        <v>445.60251156566505</v>
      </c>
      <c r="K7">
        <v>77</v>
      </c>
      <c r="L7" t="s">
        <v>79</v>
      </c>
      <c r="M7" s="1">
        <v>0.76697530859999996</v>
      </c>
      <c r="N7" s="2">
        <f t="shared" si="5"/>
        <v>13.038229376971106</v>
      </c>
      <c r="O7" s="2">
        <f>COUNTIF(E:E, K7) + COUNTIF(C:C, K7) + COUNTIF(D:D, K7)</f>
        <v>13</v>
      </c>
      <c r="P7" s="3">
        <v>163.829750376753</v>
      </c>
      <c r="R7">
        <v>1</v>
      </c>
      <c r="S7" s="3">
        <v>164.504580020438</v>
      </c>
    </row>
    <row r="8" spans="1:19" x14ac:dyDescent="0.2">
      <c r="A8">
        <f t="shared" si="6"/>
        <v>6</v>
      </c>
      <c r="B8" t="s">
        <v>85</v>
      </c>
      <c r="C8">
        <v>1</v>
      </c>
      <c r="D8">
        <v>32</v>
      </c>
      <c r="E8">
        <v>19</v>
      </c>
      <c r="F8" s="2">
        <f t="shared" si="1"/>
        <v>164.504580020438</v>
      </c>
      <c r="G8" s="2">
        <f t="shared" si="2"/>
        <v>102.312017320655</v>
      </c>
      <c r="H8" s="2">
        <f t="shared" si="3"/>
        <v>178.785914224572</v>
      </c>
      <c r="I8" s="2">
        <f t="shared" si="4"/>
        <v>445.60251156566505</v>
      </c>
      <c r="K8">
        <v>32</v>
      </c>
      <c r="L8" t="s">
        <v>34</v>
      </c>
      <c r="M8" s="1">
        <v>0.36319104270000002</v>
      </c>
      <c r="N8" s="2">
        <f t="shared" si="5"/>
        <v>27.53371868881721</v>
      </c>
      <c r="O8" s="2">
        <f>COUNTIF(E:E, K8) + COUNTIF(C:C, K8) + COUNTIF(D:D, K8)</f>
        <v>28</v>
      </c>
      <c r="P8" s="3">
        <v>102.312017320655</v>
      </c>
      <c r="R8">
        <v>77</v>
      </c>
      <c r="S8" s="3">
        <v>163.829750376753</v>
      </c>
    </row>
    <row r="9" spans="1:19" x14ac:dyDescent="0.2">
      <c r="A9">
        <f t="shared" si="6"/>
        <v>7</v>
      </c>
      <c r="B9" t="s">
        <v>86</v>
      </c>
      <c r="C9">
        <v>1</v>
      </c>
      <c r="D9">
        <v>32</v>
      </c>
      <c r="E9">
        <v>19</v>
      </c>
      <c r="F9" s="2">
        <f t="shared" si="1"/>
        <v>164.504580020438</v>
      </c>
      <c r="G9" s="2">
        <f t="shared" si="2"/>
        <v>102.312017320655</v>
      </c>
      <c r="H9" s="2">
        <f t="shared" si="3"/>
        <v>178.785914224572</v>
      </c>
      <c r="I9" s="2">
        <f t="shared" si="4"/>
        <v>445.60251156566505</v>
      </c>
      <c r="K9">
        <v>68</v>
      </c>
      <c r="L9" t="s">
        <v>70</v>
      </c>
      <c r="M9" s="1">
        <v>0.74846625769999997</v>
      </c>
      <c r="N9" s="2">
        <f t="shared" si="5"/>
        <v>13.360655737146399</v>
      </c>
      <c r="O9" s="2">
        <f>COUNTIF(E:E, K9) + COUNTIF(C:C, K9) + COUNTIF(D:D, K9)</f>
        <v>13</v>
      </c>
      <c r="P9" s="3">
        <v>101.781787241343</v>
      </c>
      <c r="R9">
        <v>32</v>
      </c>
      <c r="S9" s="3">
        <v>102.312017320655</v>
      </c>
    </row>
    <row r="10" spans="1:19" x14ac:dyDescent="0.2">
      <c r="A10">
        <f t="shared" si="6"/>
        <v>8</v>
      </c>
      <c r="B10" t="s">
        <v>86</v>
      </c>
      <c r="C10">
        <v>1</v>
      </c>
      <c r="D10">
        <v>32</v>
      </c>
      <c r="E10">
        <v>19</v>
      </c>
      <c r="F10" s="2">
        <f t="shared" si="1"/>
        <v>164.504580020438</v>
      </c>
      <c r="G10" s="2">
        <f t="shared" si="2"/>
        <v>102.312017320655</v>
      </c>
      <c r="H10" s="2">
        <f t="shared" si="3"/>
        <v>178.785914224572</v>
      </c>
      <c r="I10" s="2">
        <f t="shared" si="4"/>
        <v>445.60251156566505</v>
      </c>
      <c r="K10">
        <v>52</v>
      </c>
      <c r="L10" t="s">
        <v>54</v>
      </c>
      <c r="M10" s="1">
        <v>0.63925729440000001</v>
      </c>
      <c r="N10" s="2">
        <f t="shared" si="5"/>
        <v>15.643153527697939</v>
      </c>
      <c r="O10" s="2">
        <f>COUNTIF(E:E, K10) + COUNTIF(C:C, K10) + COUNTIF(D:D, K10)</f>
        <v>16</v>
      </c>
      <c r="P10" s="3">
        <v>101.64294332033001</v>
      </c>
      <c r="R10">
        <v>68</v>
      </c>
      <c r="S10" s="3">
        <v>101.781787241343</v>
      </c>
    </row>
    <row r="11" spans="1:19" x14ac:dyDescent="0.2">
      <c r="A11">
        <f t="shared" si="6"/>
        <v>9</v>
      </c>
      <c r="B11" t="s">
        <v>87</v>
      </c>
      <c r="C11">
        <v>1</v>
      </c>
      <c r="D11">
        <v>32</v>
      </c>
      <c r="E11">
        <v>19</v>
      </c>
      <c r="F11" s="2">
        <f t="shared" si="1"/>
        <v>164.504580020438</v>
      </c>
      <c r="G11" s="2">
        <f t="shared" si="2"/>
        <v>102.312017320655</v>
      </c>
      <c r="H11" s="2">
        <f t="shared" si="3"/>
        <v>178.785914224572</v>
      </c>
      <c r="I11" s="2">
        <f t="shared" si="4"/>
        <v>445.60251156566505</v>
      </c>
      <c r="K11">
        <v>57</v>
      </c>
      <c r="L11" t="s">
        <v>59</v>
      </c>
      <c r="M11" s="1">
        <v>0.67517401389999998</v>
      </c>
      <c r="N11" s="2">
        <f t="shared" si="5"/>
        <v>14.810996564037046</v>
      </c>
      <c r="O11" s="2">
        <f>COUNTIF(E:E, K11) + COUNTIF(C:C, K11) + COUNTIF(D:D, K11)</f>
        <v>15</v>
      </c>
      <c r="P11" s="3">
        <v>44.919924025889401</v>
      </c>
      <c r="R11">
        <v>52</v>
      </c>
      <c r="S11" s="3">
        <v>101.64294332033001</v>
      </c>
    </row>
    <row r="12" spans="1:19" x14ac:dyDescent="0.2">
      <c r="A12">
        <f t="shared" si="6"/>
        <v>10</v>
      </c>
      <c r="B12" t="s">
        <v>87</v>
      </c>
      <c r="C12">
        <v>1</v>
      </c>
      <c r="D12">
        <v>32</v>
      </c>
      <c r="E12">
        <v>19</v>
      </c>
      <c r="F12" s="2">
        <f t="shared" si="1"/>
        <v>164.504580020438</v>
      </c>
      <c r="G12" s="2">
        <f t="shared" si="2"/>
        <v>102.312017320655</v>
      </c>
      <c r="H12" s="2">
        <f t="shared" si="3"/>
        <v>178.785914224572</v>
      </c>
      <c r="I12" s="2">
        <f t="shared" si="4"/>
        <v>445.60251156566505</v>
      </c>
      <c r="K12">
        <v>70</v>
      </c>
      <c r="L12" t="s">
        <v>72</v>
      </c>
      <c r="M12" s="1">
        <v>0.84878744650000004</v>
      </c>
      <c r="N12" s="2">
        <f t="shared" si="5"/>
        <v>11.781512605111319</v>
      </c>
      <c r="O12" s="2">
        <f>COUNTIF(E:E, K12) + COUNTIF(C:C, K12) + COUNTIF(D:D, K12)</f>
        <v>12</v>
      </c>
      <c r="P12" s="3">
        <v>42.637037155218401</v>
      </c>
      <c r="R12">
        <v>57</v>
      </c>
      <c r="S12" s="3">
        <v>44.919924025889401</v>
      </c>
    </row>
    <row r="13" spans="1:19" x14ac:dyDescent="0.2">
      <c r="A13">
        <f t="shared" si="6"/>
        <v>11</v>
      </c>
      <c r="B13" t="s">
        <v>88</v>
      </c>
      <c r="C13">
        <v>1</v>
      </c>
      <c r="D13">
        <v>32</v>
      </c>
      <c r="E13">
        <v>19</v>
      </c>
      <c r="F13" s="2">
        <f t="shared" si="1"/>
        <v>164.504580020438</v>
      </c>
      <c r="G13" s="2">
        <f t="shared" si="2"/>
        <v>102.312017320655</v>
      </c>
      <c r="H13" s="2">
        <f t="shared" si="3"/>
        <v>178.785914224572</v>
      </c>
      <c r="I13" s="2">
        <f t="shared" si="4"/>
        <v>445.60251156566505</v>
      </c>
      <c r="L13" t="s">
        <v>98</v>
      </c>
      <c r="R13">
        <v>70</v>
      </c>
      <c r="S13" s="3">
        <v>42.637037155218401</v>
      </c>
    </row>
    <row r="14" spans="1:19" x14ac:dyDescent="0.2">
      <c r="A14">
        <f t="shared" si="6"/>
        <v>12</v>
      </c>
      <c r="B14" t="s">
        <v>88</v>
      </c>
      <c r="C14">
        <v>1</v>
      </c>
      <c r="D14">
        <v>32</v>
      </c>
      <c r="E14">
        <v>19</v>
      </c>
      <c r="F14" s="2">
        <f t="shared" si="1"/>
        <v>164.504580020438</v>
      </c>
      <c r="G14" s="2">
        <f t="shared" si="2"/>
        <v>102.312017320655</v>
      </c>
      <c r="H14" s="2">
        <f t="shared" si="3"/>
        <v>178.785914224572</v>
      </c>
      <c r="I14" s="2">
        <f t="shared" si="4"/>
        <v>445.60251156566505</v>
      </c>
      <c r="L14" t="s">
        <v>97</v>
      </c>
    </row>
    <row r="15" spans="1:19" x14ac:dyDescent="0.2">
      <c r="A15">
        <f t="shared" si="6"/>
        <v>13</v>
      </c>
      <c r="B15" t="s">
        <v>89</v>
      </c>
      <c r="C15">
        <v>1</v>
      </c>
      <c r="D15">
        <v>32</v>
      </c>
      <c r="E15">
        <v>19</v>
      </c>
      <c r="F15" s="2">
        <f t="shared" si="1"/>
        <v>164.504580020438</v>
      </c>
      <c r="G15" s="2">
        <f t="shared" si="2"/>
        <v>102.312017320655</v>
      </c>
      <c r="H15" s="2">
        <f t="shared" si="3"/>
        <v>178.785914224572</v>
      </c>
      <c r="I15" s="2">
        <f t="shared" si="4"/>
        <v>445.60251156566505</v>
      </c>
      <c r="L15" t="s">
        <v>115</v>
      </c>
    </row>
    <row r="16" spans="1:19" x14ac:dyDescent="0.2">
      <c r="A16">
        <f t="shared" si="6"/>
        <v>14</v>
      </c>
      <c r="B16" t="s">
        <v>89</v>
      </c>
      <c r="C16">
        <v>1</v>
      </c>
      <c r="D16">
        <v>32</v>
      </c>
      <c r="E16">
        <v>19</v>
      </c>
      <c r="F16" s="2">
        <f t="shared" si="1"/>
        <v>164.504580020438</v>
      </c>
      <c r="G16" s="2">
        <f t="shared" si="2"/>
        <v>102.312017320655</v>
      </c>
      <c r="H16" s="2">
        <f t="shared" si="3"/>
        <v>178.785914224572</v>
      </c>
      <c r="I16" s="2">
        <f t="shared" si="4"/>
        <v>445.60251156566505</v>
      </c>
    </row>
    <row r="17" spans="1:12" x14ac:dyDescent="0.2">
      <c r="A17">
        <f t="shared" si="6"/>
        <v>15</v>
      </c>
      <c r="B17" t="s">
        <v>90</v>
      </c>
      <c r="C17">
        <v>1</v>
      </c>
      <c r="D17">
        <v>32</v>
      </c>
      <c r="E17">
        <v>19</v>
      </c>
      <c r="F17" s="2">
        <f t="shared" si="1"/>
        <v>164.504580020438</v>
      </c>
      <c r="G17" s="2">
        <f t="shared" si="2"/>
        <v>102.312017320655</v>
      </c>
      <c r="H17" s="2">
        <f t="shared" si="3"/>
        <v>178.785914224572</v>
      </c>
      <c r="I17" s="2">
        <f t="shared" si="4"/>
        <v>445.60251156566505</v>
      </c>
      <c r="L17" t="s">
        <v>112</v>
      </c>
    </row>
    <row r="18" spans="1:12" x14ac:dyDescent="0.2">
      <c r="A18">
        <f t="shared" si="6"/>
        <v>16</v>
      </c>
      <c r="B18" t="s">
        <v>90</v>
      </c>
      <c r="C18">
        <v>1</v>
      </c>
      <c r="D18">
        <v>32</v>
      </c>
      <c r="E18">
        <v>19</v>
      </c>
      <c r="F18" s="2">
        <f t="shared" si="1"/>
        <v>164.504580020438</v>
      </c>
      <c r="G18" s="2">
        <f t="shared" si="2"/>
        <v>102.312017320655</v>
      </c>
      <c r="H18" s="2">
        <f t="shared" si="3"/>
        <v>178.785914224572</v>
      </c>
      <c r="I18" s="2">
        <f t="shared" si="4"/>
        <v>445.60251156566505</v>
      </c>
      <c r="L18" t="s">
        <v>111</v>
      </c>
    </row>
    <row r="19" spans="1:12" x14ac:dyDescent="0.2">
      <c r="A19">
        <f t="shared" si="6"/>
        <v>17</v>
      </c>
      <c r="B19" t="s">
        <v>91</v>
      </c>
      <c r="C19">
        <v>1</v>
      </c>
      <c r="D19">
        <v>32</v>
      </c>
      <c r="E19">
        <v>19</v>
      </c>
      <c r="F19" s="2">
        <f t="shared" si="1"/>
        <v>164.504580020438</v>
      </c>
      <c r="G19" s="2">
        <f t="shared" si="2"/>
        <v>102.312017320655</v>
      </c>
      <c r="H19" s="2">
        <f t="shared" si="3"/>
        <v>178.785914224572</v>
      </c>
      <c r="I19" s="2">
        <f t="shared" si="4"/>
        <v>445.60251156566505</v>
      </c>
      <c r="L19" t="s">
        <v>113</v>
      </c>
    </row>
    <row r="20" spans="1:12" x14ac:dyDescent="0.2">
      <c r="A20">
        <f t="shared" si="6"/>
        <v>18</v>
      </c>
      <c r="B20" t="s">
        <v>91</v>
      </c>
      <c r="C20">
        <v>1</v>
      </c>
      <c r="D20">
        <v>32</v>
      </c>
      <c r="E20">
        <v>19</v>
      </c>
      <c r="F20" s="2">
        <f t="shared" si="1"/>
        <v>164.504580020438</v>
      </c>
      <c r="G20" s="2">
        <f t="shared" si="2"/>
        <v>102.312017320655</v>
      </c>
      <c r="H20" s="2">
        <f t="shared" si="3"/>
        <v>178.785914224572</v>
      </c>
      <c r="I20" s="2">
        <f t="shared" si="4"/>
        <v>445.60251156566505</v>
      </c>
    </row>
    <row r="21" spans="1:12" x14ac:dyDescent="0.2">
      <c r="A21">
        <f t="shared" si="6"/>
        <v>19</v>
      </c>
      <c r="B21" t="s">
        <v>92</v>
      </c>
      <c r="C21">
        <v>1</v>
      </c>
      <c r="D21">
        <v>32</v>
      </c>
      <c r="E21">
        <v>19</v>
      </c>
      <c r="F21" s="2">
        <f t="shared" si="1"/>
        <v>164.504580020438</v>
      </c>
      <c r="G21" s="2">
        <f t="shared" si="2"/>
        <v>102.312017320655</v>
      </c>
      <c r="H21" s="2">
        <f t="shared" si="3"/>
        <v>178.785914224572</v>
      </c>
      <c r="I21" s="2">
        <f t="shared" si="4"/>
        <v>445.60251156566505</v>
      </c>
    </row>
    <row r="22" spans="1:12" x14ac:dyDescent="0.2">
      <c r="A22">
        <f t="shared" si="6"/>
        <v>20</v>
      </c>
      <c r="B22" t="s">
        <v>92</v>
      </c>
      <c r="C22">
        <v>1</v>
      </c>
      <c r="D22">
        <v>32</v>
      </c>
      <c r="E22">
        <v>19</v>
      </c>
      <c r="F22" s="2">
        <f t="shared" si="1"/>
        <v>164.504580020438</v>
      </c>
      <c r="G22" s="2">
        <f t="shared" si="2"/>
        <v>102.312017320655</v>
      </c>
      <c r="H22" s="2">
        <f t="shared" si="3"/>
        <v>178.785914224572</v>
      </c>
      <c r="I22" s="2">
        <f t="shared" si="4"/>
        <v>445.60251156566505</v>
      </c>
    </row>
    <row r="23" spans="1:12" x14ac:dyDescent="0.2">
      <c r="A23">
        <f t="shared" si="6"/>
        <v>21</v>
      </c>
      <c r="B23" t="s">
        <v>93</v>
      </c>
      <c r="C23">
        <v>1</v>
      </c>
      <c r="D23">
        <v>32</v>
      </c>
      <c r="E23">
        <v>19</v>
      </c>
      <c r="F23" s="2">
        <f t="shared" si="1"/>
        <v>164.504580020438</v>
      </c>
      <c r="G23" s="2">
        <f t="shared" si="2"/>
        <v>102.312017320655</v>
      </c>
      <c r="H23" s="2">
        <f t="shared" si="3"/>
        <v>178.785914224572</v>
      </c>
      <c r="I23" s="2">
        <f t="shared" si="4"/>
        <v>445.60251156566505</v>
      </c>
    </row>
    <row r="24" spans="1:12" x14ac:dyDescent="0.2">
      <c r="A24">
        <f t="shared" si="6"/>
        <v>22</v>
      </c>
      <c r="B24" t="s">
        <v>93</v>
      </c>
      <c r="C24">
        <v>1</v>
      </c>
      <c r="D24">
        <v>32</v>
      </c>
      <c r="E24">
        <v>19</v>
      </c>
      <c r="F24" s="2">
        <f t="shared" si="1"/>
        <v>164.504580020438</v>
      </c>
      <c r="G24" s="2">
        <f t="shared" si="2"/>
        <v>102.312017320655</v>
      </c>
      <c r="H24" s="2">
        <f t="shared" si="3"/>
        <v>178.785914224572</v>
      </c>
      <c r="I24" s="2">
        <f t="shared" si="4"/>
        <v>445.60251156566505</v>
      </c>
    </row>
    <row r="25" spans="1:12" x14ac:dyDescent="0.2">
      <c r="A25">
        <f t="shared" si="6"/>
        <v>23</v>
      </c>
      <c r="B25" t="s">
        <v>94</v>
      </c>
      <c r="C25">
        <v>1</v>
      </c>
      <c r="D25">
        <v>32</v>
      </c>
      <c r="E25">
        <v>19</v>
      </c>
      <c r="F25" s="2">
        <f t="shared" si="1"/>
        <v>164.504580020438</v>
      </c>
      <c r="G25" s="2">
        <f t="shared" si="2"/>
        <v>102.312017320655</v>
      </c>
      <c r="H25" s="2">
        <f t="shared" si="3"/>
        <v>178.785914224572</v>
      </c>
      <c r="I25" s="2">
        <f t="shared" si="4"/>
        <v>445.60251156566505</v>
      </c>
    </row>
    <row r="26" spans="1:12" x14ac:dyDescent="0.2">
      <c r="A26">
        <f t="shared" si="6"/>
        <v>24</v>
      </c>
      <c r="B26" t="s">
        <v>94</v>
      </c>
      <c r="C26">
        <v>1</v>
      </c>
      <c r="D26">
        <v>32</v>
      </c>
      <c r="E26">
        <v>19</v>
      </c>
      <c r="F26" s="2">
        <f t="shared" si="1"/>
        <v>164.504580020438</v>
      </c>
      <c r="G26" s="2">
        <f t="shared" si="2"/>
        <v>102.312017320655</v>
      </c>
      <c r="H26" s="2">
        <f t="shared" si="3"/>
        <v>178.785914224572</v>
      </c>
      <c r="I26" s="2">
        <f t="shared" si="4"/>
        <v>445.60251156566505</v>
      </c>
    </row>
    <row r="27" spans="1:12" x14ac:dyDescent="0.2">
      <c r="A27">
        <f t="shared" si="6"/>
        <v>25</v>
      </c>
      <c r="B27" t="s">
        <v>83</v>
      </c>
      <c r="C27">
        <v>1</v>
      </c>
      <c r="D27">
        <v>32</v>
      </c>
      <c r="E27">
        <v>19</v>
      </c>
      <c r="F27" s="2">
        <f t="shared" si="1"/>
        <v>164.504580020438</v>
      </c>
      <c r="G27" s="2">
        <f t="shared" si="2"/>
        <v>102.312017320655</v>
      </c>
      <c r="H27" s="2">
        <f t="shared" si="3"/>
        <v>178.785914224572</v>
      </c>
      <c r="I27" s="2">
        <f t="shared" si="4"/>
        <v>445.60251156566505</v>
      </c>
    </row>
    <row r="28" spans="1:12" x14ac:dyDescent="0.2">
      <c r="A28">
        <f t="shared" si="6"/>
        <v>26</v>
      </c>
      <c r="B28" t="s">
        <v>83</v>
      </c>
      <c r="C28">
        <v>1</v>
      </c>
      <c r="D28">
        <v>32</v>
      </c>
      <c r="E28">
        <v>19</v>
      </c>
      <c r="F28" s="2">
        <f t="shared" si="1"/>
        <v>164.504580020438</v>
      </c>
      <c r="G28" s="2">
        <f t="shared" si="2"/>
        <v>102.312017320655</v>
      </c>
      <c r="H28" s="2">
        <f t="shared" si="3"/>
        <v>178.785914224572</v>
      </c>
      <c r="I28" s="2">
        <f t="shared" si="4"/>
        <v>445.60251156566505</v>
      </c>
    </row>
    <row r="29" spans="1:12" x14ac:dyDescent="0.2">
      <c r="A29">
        <f t="shared" si="6"/>
        <v>27</v>
      </c>
      <c r="B29" t="s">
        <v>84</v>
      </c>
      <c r="C29">
        <v>1</v>
      </c>
      <c r="D29">
        <v>32</v>
      </c>
      <c r="E29">
        <v>19</v>
      </c>
      <c r="F29" s="2">
        <f t="shared" si="1"/>
        <v>164.504580020438</v>
      </c>
      <c r="G29" s="2">
        <f t="shared" si="2"/>
        <v>102.312017320655</v>
      </c>
      <c r="H29" s="2">
        <f t="shared" si="3"/>
        <v>178.785914224572</v>
      </c>
      <c r="I29" s="2">
        <f t="shared" si="4"/>
        <v>445.60251156566505</v>
      </c>
    </row>
    <row r="30" spans="1:12" x14ac:dyDescent="0.2">
      <c r="A30">
        <f t="shared" si="6"/>
        <v>28</v>
      </c>
      <c r="B30" t="s">
        <v>84</v>
      </c>
      <c r="C30">
        <v>1</v>
      </c>
      <c r="D30">
        <v>32</v>
      </c>
      <c r="E30">
        <v>19</v>
      </c>
      <c r="F30" s="2">
        <f t="shared" si="1"/>
        <v>164.504580020438</v>
      </c>
      <c r="G30" s="2">
        <f t="shared" si="2"/>
        <v>102.312017320655</v>
      </c>
      <c r="H30" s="2">
        <f t="shared" si="3"/>
        <v>178.785914224572</v>
      </c>
      <c r="I30" s="2">
        <f t="shared" si="4"/>
        <v>445.60251156566505</v>
      </c>
    </row>
    <row r="31" spans="1:12" x14ac:dyDescent="0.2">
      <c r="A31">
        <f t="shared" si="6"/>
        <v>29</v>
      </c>
      <c r="B31" t="s">
        <v>85</v>
      </c>
      <c r="C31">
        <v>1</v>
      </c>
      <c r="D31">
        <v>68</v>
      </c>
      <c r="E31">
        <v>19</v>
      </c>
      <c r="F31" s="2">
        <f t="shared" si="1"/>
        <v>164.504580020438</v>
      </c>
      <c r="G31" s="2">
        <f t="shared" si="2"/>
        <v>101.781787241343</v>
      </c>
      <c r="H31" s="2">
        <f t="shared" si="3"/>
        <v>178.785914224572</v>
      </c>
      <c r="I31" s="2">
        <f t="shared" si="4"/>
        <v>445.07228148635295</v>
      </c>
    </row>
    <row r="32" spans="1:12" x14ac:dyDescent="0.2">
      <c r="A32">
        <f t="shared" si="6"/>
        <v>30</v>
      </c>
      <c r="B32" t="s">
        <v>85</v>
      </c>
      <c r="C32">
        <v>1</v>
      </c>
      <c r="D32">
        <v>68</v>
      </c>
      <c r="E32">
        <v>19</v>
      </c>
      <c r="F32" s="2">
        <f t="shared" si="1"/>
        <v>164.504580020438</v>
      </c>
      <c r="G32" s="2">
        <f t="shared" si="2"/>
        <v>101.781787241343</v>
      </c>
      <c r="H32" s="2">
        <f t="shared" si="3"/>
        <v>178.785914224572</v>
      </c>
      <c r="I32" s="2">
        <f t="shared" si="4"/>
        <v>445.07228148635295</v>
      </c>
    </row>
    <row r="33" spans="1:9" x14ac:dyDescent="0.2">
      <c r="A33">
        <f t="shared" si="6"/>
        <v>31</v>
      </c>
      <c r="B33" t="s">
        <v>86</v>
      </c>
      <c r="C33">
        <v>1</v>
      </c>
      <c r="D33">
        <v>68</v>
      </c>
      <c r="E33">
        <v>19</v>
      </c>
      <c r="F33" s="2">
        <f t="shared" si="1"/>
        <v>164.504580020438</v>
      </c>
      <c r="G33" s="2">
        <f t="shared" si="2"/>
        <v>101.781787241343</v>
      </c>
      <c r="H33" s="2">
        <f t="shared" si="3"/>
        <v>178.785914224572</v>
      </c>
      <c r="I33" s="2">
        <f t="shared" si="4"/>
        <v>445.07228148635295</v>
      </c>
    </row>
    <row r="34" spans="1:9" x14ac:dyDescent="0.2">
      <c r="A34">
        <f t="shared" si="6"/>
        <v>32</v>
      </c>
      <c r="B34" t="s">
        <v>86</v>
      </c>
      <c r="C34">
        <v>1</v>
      </c>
      <c r="D34">
        <v>68</v>
      </c>
      <c r="E34">
        <v>19</v>
      </c>
      <c r="F34" s="2">
        <f t="shared" si="1"/>
        <v>164.504580020438</v>
      </c>
      <c r="G34" s="2">
        <f t="shared" si="2"/>
        <v>101.781787241343</v>
      </c>
      <c r="H34" s="2">
        <f t="shared" si="3"/>
        <v>178.785914224572</v>
      </c>
      <c r="I34" s="2">
        <f t="shared" si="4"/>
        <v>445.07228148635295</v>
      </c>
    </row>
    <row r="35" spans="1:9" x14ac:dyDescent="0.2">
      <c r="A35">
        <f t="shared" si="6"/>
        <v>33</v>
      </c>
      <c r="B35" t="s">
        <v>87</v>
      </c>
      <c r="C35">
        <v>1</v>
      </c>
      <c r="D35">
        <v>68</v>
      </c>
      <c r="E35">
        <v>19</v>
      </c>
      <c r="F35" s="2">
        <f t="shared" si="1"/>
        <v>164.504580020438</v>
      </c>
      <c r="G35" s="2">
        <f t="shared" si="2"/>
        <v>101.781787241343</v>
      </c>
      <c r="H35" s="2">
        <f t="shared" si="3"/>
        <v>178.785914224572</v>
      </c>
      <c r="I35" s="2">
        <f t="shared" si="4"/>
        <v>445.07228148635295</v>
      </c>
    </row>
    <row r="36" spans="1:9" x14ac:dyDescent="0.2">
      <c r="A36">
        <f t="shared" si="6"/>
        <v>34</v>
      </c>
      <c r="B36" t="s">
        <v>87</v>
      </c>
      <c r="C36">
        <v>1</v>
      </c>
      <c r="D36">
        <v>68</v>
      </c>
      <c r="E36">
        <v>8</v>
      </c>
      <c r="F36" s="2">
        <f t="shared" si="1"/>
        <v>164.504580020438</v>
      </c>
      <c r="G36" s="2">
        <f t="shared" si="2"/>
        <v>101.781787241343</v>
      </c>
      <c r="H36" s="2">
        <f t="shared" si="3"/>
        <v>171.70129029080201</v>
      </c>
      <c r="I36" s="2">
        <f t="shared" si="4"/>
        <v>437.98765755258296</v>
      </c>
    </row>
    <row r="37" spans="1:9" x14ac:dyDescent="0.2">
      <c r="A37">
        <f t="shared" si="6"/>
        <v>35</v>
      </c>
      <c r="B37" t="s">
        <v>88</v>
      </c>
      <c r="C37">
        <v>1</v>
      </c>
      <c r="D37">
        <v>68</v>
      </c>
      <c r="E37">
        <v>8</v>
      </c>
      <c r="F37" s="2">
        <f t="shared" si="1"/>
        <v>164.504580020438</v>
      </c>
      <c r="G37" s="2">
        <f t="shared" si="2"/>
        <v>101.781787241343</v>
      </c>
      <c r="H37" s="2">
        <f t="shared" si="3"/>
        <v>171.70129029080201</v>
      </c>
      <c r="I37" s="2">
        <f t="shared" si="4"/>
        <v>437.98765755258296</v>
      </c>
    </row>
    <row r="38" spans="1:9" x14ac:dyDescent="0.2">
      <c r="A38">
        <f t="shared" si="6"/>
        <v>36</v>
      </c>
      <c r="B38" t="s">
        <v>88</v>
      </c>
      <c r="C38">
        <v>1</v>
      </c>
      <c r="D38">
        <v>68</v>
      </c>
      <c r="E38">
        <v>8</v>
      </c>
      <c r="F38" s="2">
        <f t="shared" si="1"/>
        <v>164.504580020438</v>
      </c>
      <c r="G38" s="2">
        <f t="shared" si="2"/>
        <v>101.781787241343</v>
      </c>
      <c r="H38" s="2">
        <f t="shared" si="3"/>
        <v>171.70129029080201</v>
      </c>
      <c r="I38" s="2">
        <f t="shared" si="4"/>
        <v>437.98765755258296</v>
      </c>
    </row>
    <row r="39" spans="1:9" x14ac:dyDescent="0.2">
      <c r="A39">
        <f t="shared" si="6"/>
        <v>37</v>
      </c>
      <c r="B39" t="s">
        <v>89</v>
      </c>
      <c r="C39">
        <v>1</v>
      </c>
      <c r="D39">
        <v>68</v>
      </c>
      <c r="E39">
        <v>8</v>
      </c>
      <c r="F39" s="2">
        <f t="shared" si="1"/>
        <v>164.504580020438</v>
      </c>
      <c r="G39" s="2">
        <f t="shared" si="2"/>
        <v>101.781787241343</v>
      </c>
      <c r="H39" s="2">
        <f t="shared" si="3"/>
        <v>171.70129029080201</v>
      </c>
      <c r="I39" s="2">
        <f t="shared" si="4"/>
        <v>437.98765755258296</v>
      </c>
    </row>
    <row r="40" spans="1:9" x14ac:dyDescent="0.2">
      <c r="A40">
        <f t="shared" si="6"/>
        <v>38</v>
      </c>
      <c r="B40" t="s">
        <v>89</v>
      </c>
      <c r="C40">
        <v>1</v>
      </c>
      <c r="D40">
        <v>68</v>
      </c>
      <c r="E40">
        <v>8</v>
      </c>
      <c r="F40" s="2">
        <f t="shared" si="1"/>
        <v>164.504580020438</v>
      </c>
      <c r="G40" s="2">
        <f t="shared" si="2"/>
        <v>101.781787241343</v>
      </c>
      <c r="H40" s="2">
        <f t="shared" si="3"/>
        <v>171.70129029080201</v>
      </c>
      <c r="I40" s="2">
        <f t="shared" si="4"/>
        <v>437.98765755258296</v>
      </c>
    </row>
    <row r="41" spans="1:9" x14ac:dyDescent="0.2">
      <c r="A41">
        <f t="shared" si="6"/>
        <v>39</v>
      </c>
      <c r="B41" t="s">
        <v>90</v>
      </c>
      <c r="C41">
        <v>1</v>
      </c>
      <c r="D41">
        <v>68</v>
      </c>
      <c r="E41">
        <v>8</v>
      </c>
      <c r="F41" s="2">
        <f t="shared" si="1"/>
        <v>164.504580020438</v>
      </c>
      <c r="G41" s="2">
        <f t="shared" si="2"/>
        <v>101.781787241343</v>
      </c>
      <c r="H41" s="2">
        <f t="shared" si="3"/>
        <v>171.70129029080201</v>
      </c>
      <c r="I41" s="2">
        <f t="shared" si="4"/>
        <v>437.98765755258296</v>
      </c>
    </row>
    <row r="42" spans="1:9" x14ac:dyDescent="0.2">
      <c r="A42">
        <f t="shared" si="6"/>
        <v>40</v>
      </c>
      <c r="B42" t="s">
        <v>90</v>
      </c>
      <c r="C42">
        <v>1</v>
      </c>
      <c r="D42">
        <v>68</v>
      </c>
      <c r="E42">
        <v>8</v>
      </c>
      <c r="F42" s="2">
        <f t="shared" si="1"/>
        <v>164.504580020438</v>
      </c>
      <c r="G42" s="2">
        <f t="shared" si="2"/>
        <v>101.781787241343</v>
      </c>
      <c r="H42" s="2">
        <f t="shared" si="3"/>
        <v>171.70129029080201</v>
      </c>
      <c r="I42" s="2">
        <f t="shared" si="4"/>
        <v>437.98765755258296</v>
      </c>
    </row>
    <row r="43" spans="1:9" x14ac:dyDescent="0.2">
      <c r="A43">
        <f t="shared" si="6"/>
        <v>41</v>
      </c>
      <c r="B43" t="s">
        <v>91</v>
      </c>
      <c r="C43">
        <v>1</v>
      </c>
      <c r="D43">
        <v>68</v>
      </c>
      <c r="E43">
        <v>8</v>
      </c>
      <c r="F43" s="2">
        <f t="shared" si="1"/>
        <v>164.504580020438</v>
      </c>
      <c r="G43" s="2">
        <f t="shared" si="2"/>
        <v>101.781787241343</v>
      </c>
      <c r="H43" s="2">
        <f t="shared" si="3"/>
        <v>171.70129029080201</v>
      </c>
      <c r="I43" s="2">
        <f t="shared" si="4"/>
        <v>437.98765755258296</v>
      </c>
    </row>
    <row r="44" spans="1:9" x14ac:dyDescent="0.2">
      <c r="A44">
        <f t="shared" si="6"/>
        <v>42</v>
      </c>
      <c r="B44" t="s">
        <v>91</v>
      </c>
      <c r="C44">
        <v>1</v>
      </c>
      <c r="D44">
        <v>52</v>
      </c>
      <c r="E44">
        <v>8</v>
      </c>
      <c r="F44" s="2">
        <f t="shared" si="1"/>
        <v>164.504580020438</v>
      </c>
      <c r="G44" s="2">
        <f t="shared" si="2"/>
        <v>101.64294332033001</v>
      </c>
      <c r="H44" s="2">
        <f t="shared" si="3"/>
        <v>171.70129029080201</v>
      </c>
      <c r="I44" s="2">
        <f t="shared" si="4"/>
        <v>437.84881363157001</v>
      </c>
    </row>
    <row r="45" spans="1:9" x14ac:dyDescent="0.2">
      <c r="A45">
        <f t="shared" si="6"/>
        <v>43</v>
      </c>
      <c r="B45" t="s">
        <v>92</v>
      </c>
      <c r="C45">
        <v>1</v>
      </c>
      <c r="D45">
        <v>52</v>
      </c>
      <c r="E45">
        <v>8</v>
      </c>
      <c r="F45" s="2">
        <f t="shared" si="1"/>
        <v>164.504580020438</v>
      </c>
      <c r="G45" s="2">
        <f t="shared" si="2"/>
        <v>101.64294332033001</v>
      </c>
      <c r="H45" s="2">
        <f t="shared" si="3"/>
        <v>171.70129029080201</v>
      </c>
      <c r="I45" s="2">
        <f t="shared" si="4"/>
        <v>437.84881363157001</v>
      </c>
    </row>
    <row r="46" spans="1:9" x14ac:dyDescent="0.2">
      <c r="A46">
        <f t="shared" si="6"/>
        <v>44</v>
      </c>
      <c r="B46" t="s">
        <v>92</v>
      </c>
      <c r="C46">
        <v>1</v>
      </c>
      <c r="D46">
        <v>52</v>
      </c>
      <c r="E46">
        <v>8</v>
      </c>
      <c r="F46" s="2">
        <f t="shared" si="1"/>
        <v>164.504580020438</v>
      </c>
      <c r="G46" s="2">
        <f t="shared" si="2"/>
        <v>101.64294332033001</v>
      </c>
      <c r="H46" s="2">
        <f t="shared" si="3"/>
        <v>171.70129029080201</v>
      </c>
      <c r="I46" s="2">
        <f t="shared" si="4"/>
        <v>437.84881363157001</v>
      </c>
    </row>
    <row r="47" spans="1:9" x14ac:dyDescent="0.2">
      <c r="A47">
        <f t="shared" si="6"/>
        <v>45</v>
      </c>
      <c r="B47" t="s">
        <v>93</v>
      </c>
      <c r="C47">
        <v>1</v>
      </c>
      <c r="D47">
        <v>52</v>
      </c>
      <c r="E47">
        <v>8</v>
      </c>
      <c r="F47" s="2">
        <f t="shared" si="1"/>
        <v>164.504580020438</v>
      </c>
      <c r="G47" s="2">
        <f t="shared" si="2"/>
        <v>101.64294332033001</v>
      </c>
      <c r="H47" s="2">
        <f t="shared" si="3"/>
        <v>171.70129029080201</v>
      </c>
      <c r="I47" s="2">
        <f t="shared" si="4"/>
        <v>437.84881363157001</v>
      </c>
    </row>
    <row r="48" spans="1:9" x14ac:dyDescent="0.2">
      <c r="A48">
        <f t="shared" si="6"/>
        <v>46</v>
      </c>
      <c r="B48" t="s">
        <v>93</v>
      </c>
      <c r="C48">
        <v>1</v>
      </c>
      <c r="D48">
        <v>52</v>
      </c>
      <c r="E48">
        <v>8</v>
      </c>
      <c r="F48" s="2">
        <f t="shared" si="1"/>
        <v>164.504580020438</v>
      </c>
      <c r="G48" s="2">
        <f t="shared" si="2"/>
        <v>101.64294332033001</v>
      </c>
      <c r="H48" s="2">
        <f t="shared" si="3"/>
        <v>171.70129029080201</v>
      </c>
      <c r="I48" s="2">
        <f t="shared" si="4"/>
        <v>437.84881363157001</v>
      </c>
    </row>
    <row r="49" spans="1:9" x14ac:dyDescent="0.2">
      <c r="A49">
        <f t="shared" si="6"/>
        <v>47</v>
      </c>
      <c r="B49" t="s">
        <v>94</v>
      </c>
      <c r="C49">
        <v>1</v>
      </c>
      <c r="D49">
        <v>52</v>
      </c>
      <c r="E49">
        <v>8</v>
      </c>
      <c r="F49" s="2">
        <f t="shared" si="1"/>
        <v>164.504580020438</v>
      </c>
      <c r="G49" s="2">
        <f t="shared" si="2"/>
        <v>101.64294332033001</v>
      </c>
      <c r="H49" s="2">
        <f t="shared" si="3"/>
        <v>171.70129029080201</v>
      </c>
      <c r="I49" s="2">
        <f t="shared" si="4"/>
        <v>437.84881363157001</v>
      </c>
    </row>
    <row r="50" spans="1:9" x14ac:dyDescent="0.2">
      <c r="A50">
        <f t="shared" si="6"/>
        <v>48</v>
      </c>
      <c r="B50" t="s">
        <v>94</v>
      </c>
      <c r="C50">
        <v>1</v>
      </c>
      <c r="D50">
        <v>52</v>
      </c>
      <c r="E50">
        <v>8</v>
      </c>
      <c r="F50" s="2">
        <f t="shared" si="1"/>
        <v>164.504580020438</v>
      </c>
      <c r="G50" s="2">
        <f t="shared" si="2"/>
        <v>101.64294332033001</v>
      </c>
      <c r="H50" s="2">
        <f t="shared" si="3"/>
        <v>171.70129029080201</v>
      </c>
      <c r="I50" s="2">
        <f t="shared" si="4"/>
        <v>437.84881363157001</v>
      </c>
    </row>
    <row r="51" spans="1:9" x14ac:dyDescent="0.2">
      <c r="A51">
        <f t="shared" si="6"/>
        <v>49</v>
      </c>
      <c r="B51" t="s">
        <v>83</v>
      </c>
      <c r="C51">
        <v>1</v>
      </c>
      <c r="D51">
        <v>52</v>
      </c>
      <c r="E51">
        <v>8</v>
      </c>
      <c r="F51" s="2">
        <f t="shared" si="1"/>
        <v>164.504580020438</v>
      </c>
      <c r="G51" s="2">
        <f t="shared" si="2"/>
        <v>101.64294332033001</v>
      </c>
      <c r="H51" s="2">
        <f t="shared" si="3"/>
        <v>171.70129029080201</v>
      </c>
      <c r="I51" s="2">
        <f t="shared" si="4"/>
        <v>437.84881363157001</v>
      </c>
    </row>
    <row r="52" spans="1:9" x14ac:dyDescent="0.2">
      <c r="A52">
        <f t="shared" si="6"/>
        <v>50</v>
      </c>
      <c r="B52" t="s">
        <v>83</v>
      </c>
      <c r="C52">
        <v>1</v>
      </c>
      <c r="D52">
        <v>52</v>
      </c>
      <c r="E52">
        <v>8</v>
      </c>
      <c r="F52" s="2">
        <f t="shared" si="1"/>
        <v>164.504580020438</v>
      </c>
      <c r="G52" s="2">
        <f t="shared" si="2"/>
        <v>101.64294332033001</v>
      </c>
      <c r="H52" s="2">
        <f t="shared" si="3"/>
        <v>171.70129029080201</v>
      </c>
      <c r="I52" s="2">
        <f t="shared" si="4"/>
        <v>437.84881363157001</v>
      </c>
    </row>
    <row r="53" spans="1:9" x14ac:dyDescent="0.2">
      <c r="A53">
        <f t="shared" si="6"/>
        <v>51</v>
      </c>
      <c r="B53" t="s">
        <v>84</v>
      </c>
      <c r="C53">
        <v>1</v>
      </c>
      <c r="D53">
        <v>52</v>
      </c>
      <c r="E53">
        <v>8</v>
      </c>
      <c r="F53" s="2">
        <f t="shared" si="1"/>
        <v>164.504580020438</v>
      </c>
      <c r="G53" s="2">
        <f t="shared" si="2"/>
        <v>101.64294332033001</v>
      </c>
      <c r="H53" s="2">
        <f t="shared" si="3"/>
        <v>171.70129029080201</v>
      </c>
      <c r="I53" s="2">
        <f t="shared" si="4"/>
        <v>437.84881363157001</v>
      </c>
    </row>
    <row r="54" spans="1:9" x14ac:dyDescent="0.2">
      <c r="A54">
        <f t="shared" si="6"/>
        <v>52</v>
      </c>
      <c r="B54" t="s">
        <v>84</v>
      </c>
      <c r="C54">
        <v>1</v>
      </c>
      <c r="D54">
        <v>52</v>
      </c>
      <c r="E54">
        <v>8</v>
      </c>
      <c r="F54" s="2">
        <f t="shared" si="1"/>
        <v>164.504580020438</v>
      </c>
      <c r="G54" s="2">
        <f t="shared" si="2"/>
        <v>101.64294332033001</v>
      </c>
      <c r="H54" s="2">
        <f t="shared" si="3"/>
        <v>171.70129029080201</v>
      </c>
      <c r="I54" s="2">
        <f t="shared" si="4"/>
        <v>437.84881363157001</v>
      </c>
    </row>
    <row r="55" spans="1:9" x14ac:dyDescent="0.2">
      <c r="A55">
        <f t="shared" si="6"/>
        <v>53</v>
      </c>
      <c r="B55" t="s">
        <v>85</v>
      </c>
      <c r="C55">
        <v>1</v>
      </c>
      <c r="D55">
        <v>52</v>
      </c>
      <c r="E55">
        <v>8</v>
      </c>
      <c r="F55" s="2">
        <f t="shared" si="1"/>
        <v>164.504580020438</v>
      </c>
      <c r="G55" s="2">
        <f t="shared" si="2"/>
        <v>101.64294332033001</v>
      </c>
      <c r="H55" s="2">
        <f t="shared" si="3"/>
        <v>171.70129029080201</v>
      </c>
      <c r="I55" s="2">
        <f t="shared" si="4"/>
        <v>437.84881363157001</v>
      </c>
    </row>
    <row r="56" spans="1:9" x14ac:dyDescent="0.2">
      <c r="A56">
        <f t="shared" si="6"/>
        <v>54</v>
      </c>
      <c r="B56" t="s">
        <v>85</v>
      </c>
      <c r="C56">
        <v>1</v>
      </c>
      <c r="D56">
        <v>52</v>
      </c>
      <c r="E56">
        <v>8</v>
      </c>
      <c r="F56" s="2">
        <f t="shared" si="1"/>
        <v>164.504580020438</v>
      </c>
      <c r="G56" s="2">
        <f t="shared" si="2"/>
        <v>101.64294332033001</v>
      </c>
      <c r="H56" s="2">
        <f t="shared" si="3"/>
        <v>171.70129029080201</v>
      </c>
      <c r="I56" s="2">
        <f t="shared" si="4"/>
        <v>437.84881363157001</v>
      </c>
    </row>
    <row r="57" spans="1:9" x14ac:dyDescent="0.2">
      <c r="A57">
        <f t="shared" si="6"/>
        <v>55</v>
      </c>
      <c r="B57" t="s">
        <v>86</v>
      </c>
      <c r="C57">
        <v>1</v>
      </c>
      <c r="D57">
        <v>52</v>
      </c>
      <c r="E57">
        <v>8</v>
      </c>
      <c r="F57" s="2">
        <f t="shared" si="1"/>
        <v>164.504580020438</v>
      </c>
      <c r="G57" s="2">
        <f t="shared" si="2"/>
        <v>101.64294332033001</v>
      </c>
      <c r="H57" s="2">
        <f t="shared" si="3"/>
        <v>171.70129029080201</v>
      </c>
      <c r="I57" s="2">
        <f t="shared" si="4"/>
        <v>437.84881363157001</v>
      </c>
    </row>
    <row r="58" spans="1:9" x14ac:dyDescent="0.2">
      <c r="A58">
        <f t="shared" si="6"/>
        <v>56</v>
      </c>
      <c r="B58" t="s">
        <v>86</v>
      </c>
      <c r="C58">
        <v>1</v>
      </c>
      <c r="D58">
        <v>52</v>
      </c>
      <c r="E58">
        <v>8</v>
      </c>
      <c r="F58" s="2">
        <f t="shared" si="1"/>
        <v>164.504580020438</v>
      </c>
      <c r="G58" s="2">
        <f t="shared" si="2"/>
        <v>101.64294332033001</v>
      </c>
      <c r="H58" s="2">
        <f t="shared" si="3"/>
        <v>171.70129029080201</v>
      </c>
      <c r="I58" s="2">
        <f t="shared" si="4"/>
        <v>437.84881363157001</v>
      </c>
    </row>
    <row r="59" spans="1:9" x14ac:dyDescent="0.2">
      <c r="A59">
        <f t="shared" si="6"/>
        <v>57</v>
      </c>
      <c r="B59" t="s">
        <v>87</v>
      </c>
      <c r="C59">
        <v>1</v>
      </c>
      <c r="D59">
        <v>52</v>
      </c>
      <c r="E59">
        <v>8</v>
      </c>
      <c r="F59" s="2">
        <f t="shared" si="1"/>
        <v>164.504580020438</v>
      </c>
      <c r="G59" s="2">
        <f t="shared" si="2"/>
        <v>101.64294332033001</v>
      </c>
      <c r="H59" s="2">
        <f t="shared" si="3"/>
        <v>171.70129029080201</v>
      </c>
      <c r="I59" s="2">
        <f t="shared" si="4"/>
        <v>437.84881363157001</v>
      </c>
    </row>
    <row r="60" spans="1:9" x14ac:dyDescent="0.2">
      <c r="A60">
        <f t="shared" si="6"/>
        <v>58</v>
      </c>
      <c r="B60" t="s">
        <v>87</v>
      </c>
      <c r="C60">
        <v>1</v>
      </c>
      <c r="D60">
        <v>57</v>
      </c>
      <c r="E60">
        <v>8</v>
      </c>
      <c r="F60" s="2">
        <f t="shared" si="1"/>
        <v>164.504580020438</v>
      </c>
      <c r="G60" s="2">
        <f t="shared" si="2"/>
        <v>44.919924025889401</v>
      </c>
      <c r="H60" s="2">
        <f t="shared" si="3"/>
        <v>171.70129029080201</v>
      </c>
      <c r="I60" s="2">
        <f t="shared" si="4"/>
        <v>381.12579433712938</v>
      </c>
    </row>
    <row r="61" spans="1:9" x14ac:dyDescent="0.2">
      <c r="A61">
        <f t="shared" si="6"/>
        <v>59</v>
      </c>
      <c r="B61" t="s">
        <v>88</v>
      </c>
      <c r="C61">
        <v>1</v>
      </c>
      <c r="D61">
        <v>57</v>
      </c>
      <c r="E61">
        <v>8</v>
      </c>
      <c r="F61" s="2">
        <f t="shared" si="1"/>
        <v>164.504580020438</v>
      </c>
      <c r="G61" s="2">
        <f t="shared" si="2"/>
        <v>44.919924025889401</v>
      </c>
      <c r="H61" s="2">
        <f t="shared" si="3"/>
        <v>171.70129029080201</v>
      </c>
      <c r="I61" s="2">
        <f t="shared" si="4"/>
        <v>381.12579433712938</v>
      </c>
    </row>
    <row r="62" spans="1:9" x14ac:dyDescent="0.2">
      <c r="A62">
        <f t="shared" si="6"/>
        <v>60</v>
      </c>
      <c r="B62" t="s">
        <v>88</v>
      </c>
      <c r="C62">
        <v>1</v>
      </c>
      <c r="D62">
        <v>57</v>
      </c>
      <c r="E62">
        <v>8</v>
      </c>
      <c r="F62" s="2">
        <f t="shared" si="1"/>
        <v>164.504580020438</v>
      </c>
      <c r="G62" s="2">
        <f t="shared" si="2"/>
        <v>44.919924025889401</v>
      </c>
      <c r="H62" s="2">
        <f t="shared" si="3"/>
        <v>171.70129029080201</v>
      </c>
      <c r="I62" s="2">
        <f t="shared" si="4"/>
        <v>381.12579433712938</v>
      </c>
    </row>
    <row r="63" spans="1:9" x14ac:dyDescent="0.2">
      <c r="A63">
        <f t="shared" si="6"/>
        <v>61</v>
      </c>
      <c r="B63" t="s">
        <v>89</v>
      </c>
      <c r="C63">
        <v>1</v>
      </c>
      <c r="D63">
        <v>57</v>
      </c>
      <c r="E63">
        <v>8</v>
      </c>
      <c r="F63" s="2">
        <f t="shared" si="1"/>
        <v>164.504580020438</v>
      </c>
      <c r="G63" s="2">
        <f t="shared" si="2"/>
        <v>44.919924025889401</v>
      </c>
      <c r="H63" s="2">
        <f t="shared" si="3"/>
        <v>171.70129029080201</v>
      </c>
      <c r="I63" s="2">
        <f t="shared" si="4"/>
        <v>381.12579433712938</v>
      </c>
    </row>
    <row r="64" spans="1:9" x14ac:dyDescent="0.2">
      <c r="A64">
        <f t="shared" si="6"/>
        <v>62</v>
      </c>
      <c r="B64" t="s">
        <v>89</v>
      </c>
      <c r="C64">
        <v>1</v>
      </c>
      <c r="D64">
        <v>57</v>
      </c>
      <c r="E64">
        <v>8</v>
      </c>
      <c r="F64" s="2">
        <f t="shared" si="1"/>
        <v>164.504580020438</v>
      </c>
      <c r="G64" s="2">
        <f t="shared" si="2"/>
        <v>44.919924025889401</v>
      </c>
      <c r="H64" s="2">
        <f t="shared" si="3"/>
        <v>171.70129029080201</v>
      </c>
      <c r="I64" s="2">
        <f t="shared" si="4"/>
        <v>381.12579433712938</v>
      </c>
    </row>
    <row r="65" spans="1:9" x14ac:dyDescent="0.2">
      <c r="A65">
        <f t="shared" si="6"/>
        <v>63</v>
      </c>
      <c r="B65" t="s">
        <v>90</v>
      </c>
      <c r="C65">
        <v>1</v>
      </c>
      <c r="D65">
        <v>57</v>
      </c>
      <c r="E65">
        <v>8</v>
      </c>
      <c r="F65" s="2">
        <f t="shared" si="1"/>
        <v>164.504580020438</v>
      </c>
      <c r="G65" s="2">
        <f t="shared" si="2"/>
        <v>44.919924025889401</v>
      </c>
      <c r="H65" s="2">
        <f t="shared" si="3"/>
        <v>171.70129029080201</v>
      </c>
      <c r="I65" s="2">
        <f t="shared" si="4"/>
        <v>381.12579433712938</v>
      </c>
    </row>
    <row r="66" spans="1:9" x14ac:dyDescent="0.2">
      <c r="A66">
        <f t="shared" si="6"/>
        <v>64</v>
      </c>
      <c r="B66" t="s">
        <v>90</v>
      </c>
      <c r="C66">
        <v>1</v>
      </c>
      <c r="D66">
        <v>57</v>
      </c>
      <c r="E66">
        <v>8</v>
      </c>
      <c r="F66" s="2">
        <f t="shared" si="1"/>
        <v>164.504580020438</v>
      </c>
      <c r="G66" s="2">
        <f t="shared" si="2"/>
        <v>44.919924025889401</v>
      </c>
      <c r="H66" s="2">
        <f t="shared" si="3"/>
        <v>171.70129029080201</v>
      </c>
      <c r="I66" s="2">
        <f t="shared" si="4"/>
        <v>381.12579433712938</v>
      </c>
    </row>
    <row r="67" spans="1:9" x14ac:dyDescent="0.2">
      <c r="A67">
        <f t="shared" si="6"/>
        <v>65</v>
      </c>
      <c r="B67" t="s">
        <v>91</v>
      </c>
      <c r="C67">
        <v>1</v>
      </c>
      <c r="D67">
        <v>57</v>
      </c>
      <c r="E67">
        <v>8</v>
      </c>
      <c r="F67" s="2">
        <f t="shared" si="1"/>
        <v>164.504580020438</v>
      </c>
      <c r="G67" s="2">
        <f t="shared" si="2"/>
        <v>44.919924025889401</v>
      </c>
      <c r="H67" s="2">
        <f t="shared" si="3"/>
        <v>171.70129029080201</v>
      </c>
      <c r="I67" s="2">
        <f t="shared" si="4"/>
        <v>381.12579433712938</v>
      </c>
    </row>
    <row r="68" spans="1:9" x14ac:dyDescent="0.2">
      <c r="A68">
        <f t="shared" si="6"/>
        <v>66</v>
      </c>
      <c r="B68" t="s">
        <v>91</v>
      </c>
      <c r="C68">
        <v>1</v>
      </c>
      <c r="D68">
        <v>57</v>
      </c>
      <c r="E68">
        <v>8</v>
      </c>
      <c r="F68" s="2">
        <f t="shared" ref="F68:F129" si="7">VLOOKUP(C68,$R$3:$S$13,2,FALSE)</f>
        <v>164.504580020438</v>
      </c>
      <c r="G68" s="2">
        <f t="shared" ref="G68:G107" si="8">VLOOKUP(D68,$R$3:$S$13,2,FALSE)</f>
        <v>44.919924025889401</v>
      </c>
      <c r="H68" s="2">
        <f t="shared" ref="H68:H86" si="9">VLOOKUP(E68,$R$3:$S$13,2,FALSE)</f>
        <v>171.70129029080201</v>
      </c>
      <c r="I68" s="2">
        <f t="shared" ref="I68:I122" si="10">F68+G68+H68</f>
        <v>381.12579433712938</v>
      </c>
    </row>
    <row r="69" spans="1:9" x14ac:dyDescent="0.2">
      <c r="A69">
        <f t="shared" ref="A69:A129" si="11">A68+1</f>
        <v>67</v>
      </c>
      <c r="B69" t="s">
        <v>92</v>
      </c>
      <c r="C69">
        <v>1</v>
      </c>
      <c r="D69">
        <v>57</v>
      </c>
      <c r="E69">
        <v>8</v>
      </c>
      <c r="F69" s="2">
        <f t="shared" si="7"/>
        <v>164.504580020438</v>
      </c>
      <c r="G69" s="2">
        <f t="shared" si="8"/>
        <v>44.919924025889401</v>
      </c>
      <c r="H69" s="2">
        <f t="shared" si="9"/>
        <v>171.70129029080201</v>
      </c>
      <c r="I69" s="2">
        <f t="shared" si="10"/>
        <v>381.12579433712938</v>
      </c>
    </row>
    <row r="70" spans="1:9" x14ac:dyDescent="0.2">
      <c r="A70">
        <f t="shared" si="11"/>
        <v>68</v>
      </c>
      <c r="B70" t="s">
        <v>92</v>
      </c>
      <c r="C70">
        <v>1</v>
      </c>
      <c r="D70">
        <v>57</v>
      </c>
      <c r="E70">
        <v>8</v>
      </c>
      <c r="F70" s="2">
        <f t="shared" si="7"/>
        <v>164.504580020438</v>
      </c>
      <c r="G70" s="2">
        <f t="shared" si="8"/>
        <v>44.919924025889401</v>
      </c>
      <c r="H70" s="2">
        <f t="shared" si="9"/>
        <v>171.70129029080201</v>
      </c>
      <c r="I70" s="2">
        <f t="shared" si="10"/>
        <v>381.12579433712938</v>
      </c>
    </row>
    <row r="71" spans="1:9" x14ac:dyDescent="0.2">
      <c r="A71">
        <f t="shared" si="11"/>
        <v>69</v>
      </c>
      <c r="B71" t="s">
        <v>93</v>
      </c>
      <c r="C71">
        <v>1</v>
      </c>
      <c r="D71">
        <v>57</v>
      </c>
      <c r="E71">
        <v>8</v>
      </c>
      <c r="F71" s="2">
        <f t="shared" si="7"/>
        <v>164.504580020438</v>
      </c>
      <c r="G71" s="2">
        <f t="shared" si="8"/>
        <v>44.919924025889401</v>
      </c>
      <c r="H71" s="2">
        <f t="shared" si="9"/>
        <v>171.70129029080201</v>
      </c>
      <c r="I71" s="2">
        <f t="shared" si="10"/>
        <v>381.12579433712938</v>
      </c>
    </row>
    <row r="72" spans="1:9" x14ac:dyDescent="0.2">
      <c r="A72">
        <f t="shared" si="11"/>
        <v>70</v>
      </c>
      <c r="B72" t="s">
        <v>93</v>
      </c>
      <c r="C72">
        <v>1</v>
      </c>
      <c r="D72">
        <v>57</v>
      </c>
      <c r="E72">
        <v>8</v>
      </c>
      <c r="F72" s="2">
        <f t="shared" si="7"/>
        <v>164.504580020438</v>
      </c>
      <c r="G72" s="2">
        <f t="shared" si="8"/>
        <v>44.919924025889401</v>
      </c>
      <c r="H72" s="2">
        <f t="shared" si="9"/>
        <v>171.70129029080201</v>
      </c>
      <c r="I72" s="2">
        <f t="shared" si="10"/>
        <v>381.12579433712938</v>
      </c>
    </row>
    <row r="73" spans="1:9" x14ac:dyDescent="0.2">
      <c r="A73">
        <f t="shared" si="11"/>
        <v>71</v>
      </c>
      <c r="B73" t="s">
        <v>94</v>
      </c>
      <c r="C73">
        <v>1</v>
      </c>
      <c r="D73">
        <v>57</v>
      </c>
      <c r="E73">
        <v>77</v>
      </c>
      <c r="F73" s="2">
        <f t="shared" si="7"/>
        <v>164.504580020438</v>
      </c>
      <c r="G73" s="2">
        <f t="shared" si="8"/>
        <v>44.919924025889401</v>
      </c>
      <c r="H73" s="2">
        <f t="shared" si="9"/>
        <v>163.829750376753</v>
      </c>
      <c r="I73" s="2">
        <f t="shared" si="10"/>
        <v>373.2542544230804</v>
      </c>
    </row>
    <row r="74" spans="1:9" x14ac:dyDescent="0.2">
      <c r="A74">
        <f t="shared" si="11"/>
        <v>72</v>
      </c>
      <c r="B74" t="s">
        <v>94</v>
      </c>
      <c r="C74">
        <v>1</v>
      </c>
      <c r="D74">
        <v>57</v>
      </c>
      <c r="E74">
        <v>77</v>
      </c>
      <c r="F74" s="2">
        <f t="shared" si="7"/>
        <v>164.504580020438</v>
      </c>
      <c r="G74" s="2">
        <f t="shared" si="8"/>
        <v>44.919924025889401</v>
      </c>
      <c r="H74" s="2">
        <f t="shared" si="9"/>
        <v>163.829750376753</v>
      </c>
      <c r="I74" s="2">
        <f t="shared" si="10"/>
        <v>373.2542544230804</v>
      </c>
    </row>
    <row r="75" spans="1:9" x14ac:dyDescent="0.2">
      <c r="A75">
        <f t="shared" si="11"/>
        <v>73</v>
      </c>
      <c r="B75" t="s">
        <v>83</v>
      </c>
      <c r="C75">
        <v>1</v>
      </c>
      <c r="D75">
        <v>70</v>
      </c>
      <c r="E75">
        <v>77</v>
      </c>
      <c r="F75" s="2">
        <f t="shared" si="7"/>
        <v>164.504580020438</v>
      </c>
      <c r="G75" s="2">
        <f t="shared" si="8"/>
        <v>42.637037155218401</v>
      </c>
      <c r="H75" s="2">
        <f t="shared" si="9"/>
        <v>163.829750376753</v>
      </c>
      <c r="I75" s="2">
        <f t="shared" si="10"/>
        <v>370.97136755240939</v>
      </c>
    </row>
    <row r="76" spans="1:9" x14ac:dyDescent="0.2">
      <c r="A76">
        <f t="shared" si="11"/>
        <v>74</v>
      </c>
      <c r="B76" t="s">
        <v>83</v>
      </c>
      <c r="C76">
        <v>1</v>
      </c>
      <c r="D76">
        <v>70</v>
      </c>
      <c r="E76">
        <v>77</v>
      </c>
      <c r="F76" s="2">
        <f t="shared" si="7"/>
        <v>164.504580020438</v>
      </c>
      <c r="G76" s="2">
        <f t="shared" si="8"/>
        <v>42.637037155218401</v>
      </c>
      <c r="H76" s="2">
        <f t="shared" si="9"/>
        <v>163.829750376753</v>
      </c>
      <c r="I76" s="2">
        <f t="shared" si="10"/>
        <v>370.97136755240939</v>
      </c>
    </row>
    <row r="77" spans="1:9" x14ac:dyDescent="0.2">
      <c r="A77">
        <f t="shared" si="11"/>
        <v>75</v>
      </c>
      <c r="B77" t="s">
        <v>84</v>
      </c>
      <c r="C77">
        <v>1</v>
      </c>
      <c r="D77">
        <v>70</v>
      </c>
      <c r="E77">
        <v>77</v>
      </c>
      <c r="F77" s="2">
        <f t="shared" si="7"/>
        <v>164.504580020438</v>
      </c>
      <c r="G77" s="2">
        <f t="shared" si="8"/>
        <v>42.637037155218401</v>
      </c>
      <c r="H77" s="2">
        <f t="shared" si="9"/>
        <v>163.829750376753</v>
      </c>
      <c r="I77" s="2">
        <f t="shared" si="10"/>
        <v>370.97136755240939</v>
      </c>
    </row>
    <row r="78" spans="1:9" x14ac:dyDescent="0.2">
      <c r="A78">
        <f t="shared" si="11"/>
        <v>76</v>
      </c>
      <c r="B78" t="s">
        <v>84</v>
      </c>
      <c r="C78">
        <v>1</v>
      </c>
      <c r="D78">
        <v>70</v>
      </c>
      <c r="E78">
        <v>77</v>
      </c>
      <c r="F78" s="2">
        <f t="shared" si="7"/>
        <v>164.504580020438</v>
      </c>
      <c r="G78" s="2">
        <f t="shared" si="8"/>
        <v>42.637037155218401</v>
      </c>
      <c r="H78" s="2">
        <f t="shared" si="9"/>
        <v>163.829750376753</v>
      </c>
      <c r="I78" s="2">
        <f t="shared" si="10"/>
        <v>370.97136755240939</v>
      </c>
    </row>
    <row r="79" spans="1:9" x14ac:dyDescent="0.2">
      <c r="A79">
        <f t="shared" si="11"/>
        <v>77</v>
      </c>
      <c r="B79" t="s">
        <v>85</v>
      </c>
      <c r="C79">
        <v>1</v>
      </c>
      <c r="D79">
        <v>70</v>
      </c>
      <c r="E79">
        <v>77</v>
      </c>
      <c r="F79" s="2">
        <f t="shared" si="7"/>
        <v>164.504580020438</v>
      </c>
      <c r="G79" s="2">
        <f t="shared" si="8"/>
        <v>42.637037155218401</v>
      </c>
      <c r="H79" s="2">
        <f t="shared" si="9"/>
        <v>163.829750376753</v>
      </c>
      <c r="I79" s="2">
        <f t="shared" si="10"/>
        <v>370.97136755240939</v>
      </c>
    </row>
    <row r="80" spans="1:9" x14ac:dyDescent="0.2">
      <c r="A80">
        <f t="shared" si="11"/>
        <v>78</v>
      </c>
      <c r="B80" t="s">
        <v>85</v>
      </c>
      <c r="C80">
        <v>1</v>
      </c>
      <c r="D80">
        <v>70</v>
      </c>
      <c r="E80">
        <v>77</v>
      </c>
      <c r="F80" s="2">
        <f t="shared" si="7"/>
        <v>164.504580020438</v>
      </c>
      <c r="G80" s="2">
        <f t="shared" si="8"/>
        <v>42.637037155218401</v>
      </c>
      <c r="H80" s="2">
        <f t="shared" si="9"/>
        <v>163.829750376753</v>
      </c>
      <c r="I80" s="2">
        <f t="shared" si="10"/>
        <v>370.97136755240939</v>
      </c>
    </row>
    <row r="81" spans="1:9" x14ac:dyDescent="0.2">
      <c r="A81">
        <f t="shared" si="11"/>
        <v>79</v>
      </c>
      <c r="B81" t="s">
        <v>86</v>
      </c>
      <c r="C81">
        <v>1</v>
      </c>
      <c r="D81">
        <v>70</v>
      </c>
      <c r="E81">
        <v>77</v>
      </c>
      <c r="F81" s="2">
        <f t="shared" si="7"/>
        <v>164.504580020438</v>
      </c>
      <c r="G81" s="2">
        <f t="shared" si="8"/>
        <v>42.637037155218401</v>
      </c>
      <c r="H81" s="2">
        <f t="shared" si="9"/>
        <v>163.829750376753</v>
      </c>
      <c r="I81" s="2">
        <f t="shared" si="10"/>
        <v>370.97136755240939</v>
      </c>
    </row>
    <row r="82" spans="1:9" x14ac:dyDescent="0.2">
      <c r="A82">
        <f t="shared" si="11"/>
        <v>80</v>
      </c>
      <c r="B82" t="s">
        <v>86</v>
      </c>
      <c r="C82">
        <v>1</v>
      </c>
      <c r="D82">
        <v>70</v>
      </c>
      <c r="E82">
        <v>77</v>
      </c>
      <c r="F82" s="2">
        <f t="shared" si="7"/>
        <v>164.504580020438</v>
      </c>
      <c r="G82" s="2">
        <f t="shared" si="8"/>
        <v>42.637037155218401</v>
      </c>
      <c r="H82" s="2">
        <f t="shared" si="9"/>
        <v>163.829750376753</v>
      </c>
      <c r="I82" s="2">
        <f t="shared" si="10"/>
        <v>370.97136755240939</v>
      </c>
    </row>
    <row r="83" spans="1:9" x14ac:dyDescent="0.2">
      <c r="A83">
        <f t="shared" si="11"/>
        <v>81</v>
      </c>
      <c r="B83" t="s">
        <v>87</v>
      </c>
      <c r="C83">
        <v>1</v>
      </c>
      <c r="D83">
        <v>70</v>
      </c>
      <c r="E83">
        <v>77</v>
      </c>
      <c r="F83" s="2">
        <f t="shared" si="7"/>
        <v>164.504580020438</v>
      </c>
      <c r="G83" s="2">
        <f t="shared" si="8"/>
        <v>42.637037155218401</v>
      </c>
      <c r="H83" s="2">
        <f t="shared" si="9"/>
        <v>163.829750376753</v>
      </c>
      <c r="I83" s="2">
        <f t="shared" si="10"/>
        <v>370.97136755240939</v>
      </c>
    </row>
    <row r="84" spans="1:9" x14ac:dyDescent="0.2">
      <c r="A84">
        <f t="shared" si="11"/>
        <v>82</v>
      </c>
      <c r="B84" t="s">
        <v>87</v>
      </c>
      <c r="C84">
        <v>1</v>
      </c>
      <c r="D84">
        <v>70</v>
      </c>
      <c r="E84">
        <v>77</v>
      </c>
      <c r="F84" s="2">
        <f t="shared" si="7"/>
        <v>164.504580020438</v>
      </c>
      <c r="G84" s="2">
        <f t="shared" si="8"/>
        <v>42.637037155218401</v>
      </c>
      <c r="H84" s="2">
        <f t="shared" si="9"/>
        <v>163.829750376753</v>
      </c>
      <c r="I84" s="2">
        <f t="shared" si="10"/>
        <v>370.97136755240939</v>
      </c>
    </row>
    <row r="85" spans="1:9" x14ac:dyDescent="0.2">
      <c r="A85">
        <f t="shared" si="11"/>
        <v>83</v>
      </c>
      <c r="B85" t="s">
        <v>88</v>
      </c>
      <c r="C85">
        <v>1</v>
      </c>
      <c r="D85">
        <v>70</v>
      </c>
      <c r="E85">
        <v>77</v>
      </c>
      <c r="F85" s="2">
        <f t="shared" si="7"/>
        <v>164.504580020438</v>
      </c>
      <c r="G85" s="2">
        <f t="shared" si="8"/>
        <v>42.637037155218401</v>
      </c>
      <c r="H85" s="2">
        <f t="shared" si="9"/>
        <v>163.829750376753</v>
      </c>
      <c r="I85" s="2">
        <f t="shared" si="10"/>
        <v>370.97136755240939</v>
      </c>
    </row>
    <row r="86" spans="1:9" x14ac:dyDescent="0.2">
      <c r="A86">
        <f t="shared" si="11"/>
        <v>84</v>
      </c>
      <c r="B86" t="s">
        <v>88</v>
      </c>
      <c r="C86">
        <v>1</v>
      </c>
      <c r="D86">
        <v>70</v>
      </c>
      <c r="E86">
        <v>7</v>
      </c>
      <c r="F86" s="2">
        <f t="shared" si="7"/>
        <v>164.504580020438</v>
      </c>
      <c r="G86" s="2">
        <f t="shared" si="8"/>
        <v>42.637037155218401</v>
      </c>
      <c r="H86" s="2">
        <f t="shared" si="9"/>
        <v>164.75845274515399</v>
      </c>
      <c r="I86" s="2">
        <f t="shared" si="10"/>
        <v>371.90006992081038</v>
      </c>
    </row>
    <row r="87" spans="1:9" x14ac:dyDescent="0.2">
      <c r="A87">
        <f t="shared" si="11"/>
        <v>85</v>
      </c>
      <c r="B87" t="s">
        <v>89</v>
      </c>
      <c r="C87">
        <v>1</v>
      </c>
      <c r="D87">
        <v>7</v>
      </c>
      <c r="F87" s="2">
        <f t="shared" si="7"/>
        <v>164.504580020438</v>
      </c>
      <c r="G87" s="2">
        <f t="shared" si="8"/>
        <v>164.75845274515399</v>
      </c>
      <c r="H87" s="2">
        <f>_xlfn.IFNA(0,VLOOKUP(E87,$R$3:$S$13,2,FALSE))</f>
        <v>0</v>
      </c>
      <c r="I87" s="2">
        <f t="shared" si="10"/>
        <v>329.26303276559202</v>
      </c>
    </row>
    <row r="88" spans="1:9" x14ac:dyDescent="0.2">
      <c r="A88">
        <f t="shared" si="11"/>
        <v>86</v>
      </c>
      <c r="B88" t="s">
        <v>89</v>
      </c>
      <c r="C88">
        <v>1</v>
      </c>
      <c r="D88">
        <v>7</v>
      </c>
      <c r="F88" s="2">
        <f t="shared" si="7"/>
        <v>164.504580020438</v>
      </c>
      <c r="G88" s="2">
        <f t="shared" si="8"/>
        <v>164.75845274515399</v>
      </c>
      <c r="H88" s="2">
        <f t="shared" ref="H88:H129" si="12">_xlfn.IFNA(0,VLOOKUP(E88,$R$3:$S$13,2,FALSE))</f>
        <v>0</v>
      </c>
      <c r="I88" s="2">
        <f t="shared" si="10"/>
        <v>329.26303276559202</v>
      </c>
    </row>
    <row r="89" spans="1:9" x14ac:dyDescent="0.2">
      <c r="A89">
        <f t="shared" si="11"/>
        <v>87</v>
      </c>
      <c r="B89" t="s">
        <v>90</v>
      </c>
      <c r="C89">
        <v>1</v>
      </c>
      <c r="D89">
        <v>7</v>
      </c>
      <c r="F89" s="2">
        <f t="shared" si="7"/>
        <v>164.504580020438</v>
      </c>
      <c r="G89" s="2">
        <f t="shared" si="8"/>
        <v>164.75845274515399</v>
      </c>
      <c r="H89" s="2">
        <f t="shared" si="12"/>
        <v>0</v>
      </c>
      <c r="I89" s="2">
        <f t="shared" si="10"/>
        <v>329.26303276559202</v>
      </c>
    </row>
    <row r="90" spans="1:9" x14ac:dyDescent="0.2">
      <c r="A90">
        <f t="shared" si="11"/>
        <v>88</v>
      </c>
      <c r="B90" t="s">
        <v>90</v>
      </c>
      <c r="C90">
        <v>1</v>
      </c>
      <c r="D90">
        <v>7</v>
      </c>
      <c r="F90" s="2">
        <f t="shared" si="7"/>
        <v>164.504580020438</v>
      </c>
      <c r="G90" s="2">
        <f t="shared" si="8"/>
        <v>164.75845274515399</v>
      </c>
      <c r="H90" s="2">
        <f t="shared" si="12"/>
        <v>0</v>
      </c>
      <c r="I90" s="2">
        <f t="shared" si="10"/>
        <v>329.26303276559202</v>
      </c>
    </row>
    <row r="91" spans="1:9" x14ac:dyDescent="0.2">
      <c r="A91">
        <f t="shared" si="11"/>
        <v>89</v>
      </c>
      <c r="B91" t="s">
        <v>91</v>
      </c>
      <c r="C91">
        <v>1</v>
      </c>
      <c r="D91">
        <v>7</v>
      </c>
      <c r="F91" s="2">
        <f t="shared" si="7"/>
        <v>164.504580020438</v>
      </c>
      <c r="G91" s="2">
        <f t="shared" si="8"/>
        <v>164.75845274515399</v>
      </c>
      <c r="H91" s="2">
        <f t="shared" si="12"/>
        <v>0</v>
      </c>
      <c r="I91" s="2">
        <f t="shared" si="10"/>
        <v>329.26303276559202</v>
      </c>
    </row>
    <row r="92" spans="1:9" x14ac:dyDescent="0.2">
      <c r="A92">
        <f t="shared" si="11"/>
        <v>90</v>
      </c>
      <c r="B92" t="s">
        <v>91</v>
      </c>
      <c r="C92">
        <v>1</v>
      </c>
      <c r="D92">
        <v>7</v>
      </c>
      <c r="F92" s="2">
        <f t="shared" si="7"/>
        <v>164.504580020438</v>
      </c>
      <c r="G92" s="2">
        <f t="shared" si="8"/>
        <v>164.75845274515399</v>
      </c>
      <c r="H92" s="2">
        <f t="shared" si="12"/>
        <v>0</v>
      </c>
      <c r="I92" s="2">
        <f t="shared" si="10"/>
        <v>329.26303276559202</v>
      </c>
    </row>
    <row r="93" spans="1:9" x14ac:dyDescent="0.2">
      <c r="A93">
        <f t="shared" si="11"/>
        <v>91</v>
      </c>
      <c r="B93" t="s">
        <v>92</v>
      </c>
      <c r="C93">
        <v>1</v>
      </c>
      <c r="D93">
        <v>7</v>
      </c>
      <c r="F93" s="2">
        <f t="shared" si="7"/>
        <v>164.504580020438</v>
      </c>
      <c r="G93" s="2">
        <f t="shared" si="8"/>
        <v>164.75845274515399</v>
      </c>
      <c r="H93" s="2">
        <f t="shared" si="12"/>
        <v>0</v>
      </c>
      <c r="I93" s="2">
        <f t="shared" si="10"/>
        <v>329.26303276559202</v>
      </c>
    </row>
    <row r="94" spans="1:9" x14ac:dyDescent="0.2">
      <c r="A94">
        <f t="shared" si="11"/>
        <v>92</v>
      </c>
      <c r="B94" t="s">
        <v>92</v>
      </c>
      <c r="C94">
        <v>1</v>
      </c>
      <c r="D94">
        <v>7</v>
      </c>
      <c r="F94" s="2">
        <f t="shared" si="7"/>
        <v>164.504580020438</v>
      </c>
      <c r="G94" s="2">
        <f t="shared" si="8"/>
        <v>164.75845274515399</v>
      </c>
      <c r="H94" s="2">
        <f t="shared" si="12"/>
        <v>0</v>
      </c>
      <c r="I94" s="2">
        <f t="shared" si="10"/>
        <v>329.26303276559202</v>
      </c>
    </row>
    <row r="95" spans="1:9" x14ac:dyDescent="0.2">
      <c r="A95">
        <f t="shared" si="11"/>
        <v>93</v>
      </c>
      <c r="B95" t="s">
        <v>93</v>
      </c>
      <c r="C95">
        <v>1</v>
      </c>
      <c r="D95">
        <v>7</v>
      </c>
      <c r="F95" s="2">
        <f t="shared" si="7"/>
        <v>164.504580020438</v>
      </c>
      <c r="G95" s="2">
        <f t="shared" si="8"/>
        <v>164.75845274515399</v>
      </c>
      <c r="H95" s="2">
        <f t="shared" si="12"/>
        <v>0</v>
      </c>
      <c r="I95" s="2">
        <f t="shared" si="10"/>
        <v>329.26303276559202</v>
      </c>
    </row>
    <row r="96" spans="1:9" x14ac:dyDescent="0.2">
      <c r="A96">
        <f t="shared" si="11"/>
        <v>94</v>
      </c>
      <c r="B96" t="s">
        <v>93</v>
      </c>
      <c r="C96">
        <v>1</v>
      </c>
      <c r="D96">
        <v>7</v>
      </c>
      <c r="F96" s="2">
        <f t="shared" si="7"/>
        <v>164.504580020438</v>
      </c>
      <c r="G96" s="2">
        <f t="shared" si="8"/>
        <v>164.75845274515399</v>
      </c>
      <c r="H96" s="2">
        <f t="shared" si="12"/>
        <v>0</v>
      </c>
      <c r="I96" s="2">
        <f t="shared" si="10"/>
        <v>329.26303276559202</v>
      </c>
    </row>
    <row r="97" spans="1:9" x14ac:dyDescent="0.2">
      <c r="A97">
        <f t="shared" si="11"/>
        <v>95</v>
      </c>
      <c r="B97" t="s">
        <v>94</v>
      </c>
      <c r="C97">
        <v>1</v>
      </c>
      <c r="D97">
        <v>7</v>
      </c>
      <c r="F97" s="2">
        <f t="shared" si="7"/>
        <v>164.504580020438</v>
      </c>
      <c r="G97" s="2">
        <f t="shared" si="8"/>
        <v>164.75845274515399</v>
      </c>
      <c r="H97" s="2">
        <f t="shared" si="12"/>
        <v>0</v>
      </c>
      <c r="I97" s="2">
        <f t="shared" si="10"/>
        <v>329.26303276559202</v>
      </c>
    </row>
    <row r="98" spans="1:9" x14ac:dyDescent="0.2">
      <c r="A98">
        <f t="shared" si="11"/>
        <v>96</v>
      </c>
      <c r="B98" t="s">
        <v>94</v>
      </c>
      <c r="C98">
        <v>1</v>
      </c>
      <c r="D98">
        <v>7</v>
      </c>
      <c r="F98" s="2">
        <f t="shared" si="7"/>
        <v>164.504580020438</v>
      </c>
      <c r="G98" s="2">
        <f t="shared" si="8"/>
        <v>164.75845274515399</v>
      </c>
      <c r="H98" s="2">
        <f t="shared" si="12"/>
        <v>0</v>
      </c>
      <c r="I98" s="2">
        <f t="shared" si="10"/>
        <v>329.26303276559202</v>
      </c>
    </row>
    <row r="99" spans="1:9" x14ac:dyDescent="0.2">
      <c r="A99">
        <f t="shared" si="11"/>
        <v>97</v>
      </c>
      <c r="B99" t="s">
        <v>83</v>
      </c>
      <c r="C99">
        <v>1</v>
      </c>
      <c r="D99">
        <v>7</v>
      </c>
      <c r="F99" s="2">
        <f t="shared" si="7"/>
        <v>164.504580020438</v>
      </c>
      <c r="G99" s="2">
        <f t="shared" si="8"/>
        <v>164.75845274515399</v>
      </c>
      <c r="H99" s="2">
        <f t="shared" si="12"/>
        <v>0</v>
      </c>
      <c r="I99" s="2">
        <f t="shared" si="10"/>
        <v>329.26303276559202</v>
      </c>
    </row>
    <row r="100" spans="1:9" x14ac:dyDescent="0.2">
      <c r="A100">
        <f t="shared" si="11"/>
        <v>98</v>
      </c>
      <c r="B100" t="s">
        <v>83</v>
      </c>
      <c r="C100">
        <v>1</v>
      </c>
      <c r="D100">
        <v>7</v>
      </c>
      <c r="F100" s="2">
        <f t="shared" si="7"/>
        <v>164.504580020438</v>
      </c>
      <c r="G100" s="2">
        <f t="shared" si="8"/>
        <v>164.75845274515399</v>
      </c>
      <c r="H100" s="2">
        <f t="shared" si="12"/>
        <v>0</v>
      </c>
      <c r="I100" s="2">
        <f t="shared" si="10"/>
        <v>329.26303276559202</v>
      </c>
    </row>
    <row r="101" spans="1:9" x14ac:dyDescent="0.2">
      <c r="A101">
        <f t="shared" si="11"/>
        <v>99</v>
      </c>
      <c r="B101" t="s">
        <v>84</v>
      </c>
      <c r="C101">
        <v>1</v>
      </c>
      <c r="D101">
        <v>7</v>
      </c>
      <c r="F101" s="2">
        <f t="shared" si="7"/>
        <v>164.504580020438</v>
      </c>
      <c r="G101" s="2">
        <f t="shared" si="8"/>
        <v>164.75845274515399</v>
      </c>
      <c r="H101" s="2">
        <f t="shared" si="12"/>
        <v>0</v>
      </c>
      <c r="I101" s="2">
        <f t="shared" si="10"/>
        <v>329.26303276559202</v>
      </c>
    </row>
    <row r="102" spans="1:9" x14ac:dyDescent="0.2">
      <c r="A102">
        <f t="shared" si="11"/>
        <v>100</v>
      </c>
      <c r="B102" t="s">
        <v>84</v>
      </c>
      <c r="C102">
        <v>1</v>
      </c>
      <c r="D102">
        <v>7</v>
      </c>
      <c r="F102" s="2">
        <f t="shared" si="7"/>
        <v>164.504580020438</v>
      </c>
      <c r="G102" s="2">
        <f t="shared" si="8"/>
        <v>164.75845274515399</v>
      </c>
      <c r="H102" s="2">
        <f t="shared" si="12"/>
        <v>0</v>
      </c>
      <c r="I102" s="2">
        <f t="shared" si="10"/>
        <v>329.26303276559202</v>
      </c>
    </row>
    <row r="103" spans="1:9" x14ac:dyDescent="0.2">
      <c r="A103">
        <f t="shared" si="11"/>
        <v>101</v>
      </c>
      <c r="B103" t="s">
        <v>85</v>
      </c>
      <c r="C103">
        <v>1</v>
      </c>
      <c r="D103">
        <v>7</v>
      </c>
      <c r="F103" s="2">
        <f t="shared" si="7"/>
        <v>164.504580020438</v>
      </c>
      <c r="G103" s="2">
        <f t="shared" si="8"/>
        <v>164.75845274515399</v>
      </c>
      <c r="H103" s="2">
        <f t="shared" si="12"/>
        <v>0</v>
      </c>
      <c r="I103" s="2">
        <f t="shared" si="10"/>
        <v>329.26303276559202</v>
      </c>
    </row>
    <row r="104" spans="1:9" x14ac:dyDescent="0.2">
      <c r="A104">
        <f t="shared" si="11"/>
        <v>102</v>
      </c>
      <c r="B104" t="s">
        <v>85</v>
      </c>
      <c r="C104">
        <v>1</v>
      </c>
      <c r="D104">
        <v>7</v>
      </c>
      <c r="F104" s="2">
        <f t="shared" si="7"/>
        <v>164.504580020438</v>
      </c>
      <c r="G104" s="2">
        <f t="shared" si="8"/>
        <v>164.75845274515399</v>
      </c>
      <c r="H104" s="2">
        <f t="shared" si="12"/>
        <v>0</v>
      </c>
      <c r="I104" s="2">
        <f t="shared" si="10"/>
        <v>329.26303276559202</v>
      </c>
    </row>
    <row r="105" spans="1:9" x14ac:dyDescent="0.2">
      <c r="A105">
        <f t="shared" si="11"/>
        <v>103</v>
      </c>
      <c r="B105" t="s">
        <v>86</v>
      </c>
      <c r="C105">
        <v>1</v>
      </c>
      <c r="D105">
        <v>7</v>
      </c>
      <c r="F105" s="2">
        <f t="shared" si="7"/>
        <v>164.504580020438</v>
      </c>
      <c r="G105" s="2">
        <f t="shared" si="8"/>
        <v>164.75845274515399</v>
      </c>
      <c r="H105" s="2">
        <f t="shared" si="12"/>
        <v>0</v>
      </c>
      <c r="I105" s="2">
        <f t="shared" si="10"/>
        <v>329.26303276559202</v>
      </c>
    </row>
    <row r="106" spans="1:9" x14ac:dyDescent="0.2">
      <c r="A106">
        <f t="shared" si="11"/>
        <v>104</v>
      </c>
      <c r="B106" t="s">
        <v>86</v>
      </c>
      <c r="C106">
        <v>1</v>
      </c>
      <c r="D106">
        <v>7</v>
      </c>
      <c r="F106" s="2">
        <f t="shared" si="7"/>
        <v>164.504580020438</v>
      </c>
      <c r="G106" s="2">
        <f t="shared" si="8"/>
        <v>164.75845274515399</v>
      </c>
      <c r="H106" s="2">
        <f t="shared" si="12"/>
        <v>0</v>
      </c>
      <c r="I106" s="2">
        <f t="shared" si="10"/>
        <v>329.26303276559202</v>
      </c>
    </row>
    <row r="107" spans="1:9" x14ac:dyDescent="0.2">
      <c r="A107">
        <f t="shared" si="11"/>
        <v>105</v>
      </c>
      <c r="B107" t="s">
        <v>87</v>
      </c>
      <c r="C107">
        <v>1</v>
      </c>
      <c r="D107">
        <v>7</v>
      </c>
      <c r="F107" s="2">
        <f t="shared" si="7"/>
        <v>164.504580020438</v>
      </c>
      <c r="G107" s="2">
        <f t="shared" si="8"/>
        <v>164.75845274515399</v>
      </c>
      <c r="H107" s="2">
        <f t="shared" si="12"/>
        <v>0</v>
      </c>
      <c r="I107" s="2">
        <f t="shared" si="10"/>
        <v>329.26303276559202</v>
      </c>
    </row>
    <row r="108" spans="1:9" x14ac:dyDescent="0.2">
      <c r="A108">
        <f t="shared" si="11"/>
        <v>106</v>
      </c>
      <c r="B108" t="s">
        <v>87</v>
      </c>
      <c r="C108">
        <v>7</v>
      </c>
      <c r="F108" s="2">
        <f t="shared" si="7"/>
        <v>164.75845274515399</v>
      </c>
      <c r="G108" s="2">
        <v>0</v>
      </c>
      <c r="H108" s="2">
        <f t="shared" si="12"/>
        <v>0</v>
      </c>
      <c r="I108" s="2">
        <f t="shared" si="10"/>
        <v>164.75845274515399</v>
      </c>
    </row>
    <row r="109" spans="1:9" x14ac:dyDescent="0.2">
      <c r="A109">
        <f t="shared" si="11"/>
        <v>107</v>
      </c>
      <c r="B109" t="s">
        <v>88</v>
      </c>
      <c r="C109">
        <v>7</v>
      </c>
      <c r="F109" s="2">
        <f t="shared" si="7"/>
        <v>164.75845274515399</v>
      </c>
      <c r="G109" s="2">
        <v>0</v>
      </c>
      <c r="H109" s="2">
        <f t="shared" si="12"/>
        <v>0</v>
      </c>
      <c r="I109" s="2">
        <f t="shared" si="10"/>
        <v>164.75845274515399</v>
      </c>
    </row>
    <row r="110" spans="1:9" x14ac:dyDescent="0.2">
      <c r="A110">
        <f t="shared" si="11"/>
        <v>108</v>
      </c>
      <c r="B110" t="s">
        <v>88</v>
      </c>
      <c r="C110">
        <v>7</v>
      </c>
      <c r="F110" s="2">
        <f t="shared" si="7"/>
        <v>164.75845274515399</v>
      </c>
      <c r="G110" s="2">
        <v>0</v>
      </c>
      <c r="H110" s="2">
        <f t="shared" si="12"/>
        <v>0</v>
      </c>
      <c r="I110" s="2">
        <f t="shared" si="10"/>
        <v>164.75845274515399</v>
      </c>
    </row>
    <row r="111" spans="1:9" x14ac:dyDescent="0.2">
      <c r="A111">
        <f t="shared" si="11"/>
        <v>109</v>
      </c>
      <c r="B111" t="s">
        <v>89</v>
      </c>
      <c r="C111">
        <v>7</v>
      </c>
      <c r="F111" s="2">
        <f t="shared" si="7"/>
        <v>164.75845274515399</v>
      </c>
      <c r="G111" s="2">
        <v>0</v>
      </c>
      <c r="H111" s="2">
        <f t="shared" si="12"/>
        <v>0</v>
      </c>
      <c r="I111" s="2">
        <f t="shared" si="10"/>
        <v>164.75845274515399</v>
      </c>
    </row>
    <row r="112" spans="1:9" x14ac:dyDescent="0.2">
      <c r="A112">
        <f t="shared" si="11"/>
        <v>110</v>
      </c>
      <c r="B112" t="s">
        <v>89</v>
      </c>
      <c r="C112">
        <v>7</v>
      </c>
      <c r="F112" s="2">
        <f t="shared" si="7"/>
        <v>164.75845274515399</v>
      </c>
      <c r="G112" s="2">
        <v>0</v>
      </c>
      <c r="H112" s="2">
        <f t="shared" si="12"/>
        <v>0</v>
      </c>
      <c r="I112" s="2">
        <f t="shared" si="10"/>
        <v>164.75845274515399</v>
      </c>
    </row>
    <row r="113" spans="1:9" x14ac:dyDescent="0.2">
      <c r="A113">
        <f t="shared" si="11"/>
        <v>111</v>
      </c>
      <c r="B113" t="s">
        <v>90</v>
      </c>
      <c r="C113">
        <v>7</v>
      </c>
      <c r="F113" s="2">
        <f t="shared" si="7"/>
        <v>164.75845274515399</v>
      </c>
      <c r="G113" s="2">
        <v>0</v>
      </c>
      <c r="H113" s="2">
        <f t="shared" si="12"/>
        <v>0</v>
      </c>
      <c r="I113" s="2">
        <f t="shared" si="10"/>
        <v>164.75845274515399</v>
      </c>
    </row>
    <row r="114" spans="1:9" x14ac:dyDescent="0.2">
      <c r="A114">
        <f t="shared" si="11"/>
        <v>112</v>
      </c>
      <c r="B114" t="s">
        <v>90</v>
      </c>
      <c r="C114">
        <v>7</v>
      </c>
      <c r="F114" s="2">
        <f t="shared" si="7"/>
        <v>164.75845274515399</v>
      </c>
      <c r="G114" s="2">
        <v>0</v>
      </c>
      <c r="H114" s="2">
        <f t="shared" si="12"/>
        <v>0</v>
      </c>
      <c r="I114" s="2">
        <f t="shared" si="10"/>
        <v>164.75845274515399</v>
      </c>
    </row>
    <row r="115" spans="1:9" x14ac:dyDescent="0.2">
      <c r="A115">
        <f t="shared" si="11"/>
        <v>113</v>
      </c>
      <c r="B115" t="s">
        <v>91</v>
      </c>
      <c r="C115">
        <v>7</v>
      </c>
      <c r="F115" s="2">
        <f t="shared" si="7"/>
        <v>164.75845274515399</v>
      </c>
      <c r="G115" s="2">
        <v>0</v>
      </c>
      <c r="H115" s="2">
        <f t="shared" si="12"/>
        <v>0</v>
      </c>
      <c r="I115" s="2">
        <f t="shared" si="10"/>
        <v>164.75845274515399</v>
      </c>
    </row>
    <row r="116" spans="1:9" x14ac:dyDescent="0.2">
      <c r="A116">
        <f t="shared" si="11"/>
        <v>114</v>
      </c>
      <c r="B116" t="s">
        <v>91</v>
      </c>
      <c r="C116">
        <v>7</v>
      </c>
      <c r="F116" s="2">
        <f t="shared" si="7"/>
        <v>164.75845274515399</v>
      </c>
      <c r="G116" s="2">
        <v>0</v>
      </c>
      <c r="H116" s="2">
        <f t="shared" si="12"/>
        <v>0</v>
      </c>
      <c r="I116" s="2">
        <f t="shared" si="10"/>
        <v>164.75845274515399</v>
      </c>
    </row>
    <row r="117" spans="1:9" x14ac:dyDescent="0.2">
      <c r="A117">
        <f t="shared" si="11"/>
        <v>115</v>
      </c>
      <c r="B117" t="s">
        <v>92</v>
      </c>
      <c r="C117">
        <v>7</v>
      </c>
      <c r="F117" s="2">
        <f t="shared" si="7"/>
        <v>164.75845274515399</v>
      </c>
      <c r="G117" s="2">
        <v>0</v>
      </c>
      <c r="H117" s="2">
        <f t="shared" si="12"/>
        <v>0</v>
      </c>
      <c r="I117" s="2">
        <f t="shared" si="10"/>
        <v>164.75845274515399</v>
      </c>
    </row>
    <row r="118" spans="1:9" x14ac:dyDescent="0.2">
      <c r="A118">
        <f t="shared" si="11"/>
        <v>116</v>
      </c>
      <c r="B118" t="s">
        <v>92</v>
      </c>
      <c r="C118">
        <v>7</v>
      </c>
      <c r="F118" s="2">
        <f t="shared" si="7"/>
        <v>164.75845274515399</v>
      </c>
      <c r="G118" s="2">
        <v>0</v>
      </c>
      <c r="H118" s="2">
        <f t="shared" si="12"/>
        <v>0</v>
      </c>
      <c r="I118" s="2">
        <f t="shared" si="10"/>
        <v>164.75845274515399</v>
      </c>
    </row>
    <row r="119" spans="1:9" x14ac:dyDescent="0.2">
      <c r="A119">
        <f t="shared" si="11"/>
        <v>117</v>
      </c>
      <c r="B119" t="s">
        <v>93</v>
      </c>
      <c r="C119">
        <v>7</v>
      </c>
      <c r="F119" s="2">
        <f t="shared" si="7"/>
        <v>164.75845274515399</v>
      </c>
      <c r="G119" s="2">
        <v>0</v>
      </c>
      <c r="H119" s="2">
        <f t="shared" si="12"/>
        <v>0</v>
      </c>
      <c r="I119" s="2">
        <f t="shared" si="10"/>
        <v>164.75845274515399</v>
      </c>
    </row>
    <row r="120" spans="1:9" x14ac:dyDescent="0.2">
      <c r="A120">
        <f t="shared" si="11"/>
        <v>118</v>
      </c>
      <c r="B120" t="s">
        <v>93</v>
      </c>
      <c r="C120">
        <v>7</v>
      </c>
      <c r="F120" s="2">
        <f t="shared" si="7"/>
        <v>164.75845274515399</v>
      </c>
      <c r="G120" s="2">
        <v>0</v>
      </c>
      <c r="H120" s="2">
        <f t="shared" si="12"/>
        <v>0</v>
      </c>
      <c r="I120" s="2">
        <f t="shared" si="10"/>
        <v>164.75845274515399</v>
      </c>
    </row>
    <row r="121" spans="1:9" x14ac:dyDescent="0.2">
      <c r="A121">
        <f t="shared" si="11"/>
        <v>119</v>
      </c>
      <c r="B121" t="s">
        <v>94</v>
      </c>
      <c r="C121">
        <v>7</v>
      </c>
      <c r="F121" s="2">
        <f t="shared" si="7"/>
        <v>164.75845274515399</v>
      </c>
      <c r="G121" s="2">
        <v>0</v>
      </c>
      <c r="H121" s="2">
        <f t="shared" si="12"/>
        <v>0</v>
      </c>
      <c r="I121" s="2">
        <f t="shared" si="10"/>
        <v>164.75845274515399</v>
      </c>
    </row>
    <row r="122" spans="1:9" x14ac:dyDescent="0.2">
      <c r="A122">
        <f t="shared" si="11"/>
        <v>120</v>
      </c>
      <c r="B122" t="s">
        <v>94</v>
      </c>
      <c r="C122">
        <v>7</v>
      </c>
      <c r="F122" s="2">
        <f t="shared" si="7"/>
        <v>164.75845274515399</v>
      </c>
      <c r="G122" s="2">
        <v>0</v>
      </c>
      <c r="H122" s="2">
        <f t="shared" si="12"/>
        <v>0</v>
      </c>
      <c r="I122" s="2">
        <f t="shared" si="10"/>
        <v>164.75845274515399</v>
      </c>
    </row>
    <row r="123" spans="1:9" x14ac:dyDescent="0.2">
      <c r="A123">
        <f t="shared" si="11"/>
        <v>121</v>
      </c>
      <c r="B123" t="s">
        <v>91</v>
      </c>
      <c r="C123">
        <v>7</v>
      </c>
      <c r="F123" s="2">
        <f t="shared" si="7"/>
        <v>164.75845274515399</v>
      </c>
      <c r="G123" s="2">
        <v>0</v>
      </c>
      <c r="H123" s="2">
        <f t="shared" si="12"/>
        <v>0</v>
      </c>
      <c r="I123" s="2">
        <f t="shared" ref="I123:I129" si="13">F123+G123+H123</f>
        <v>164.75845274515399</v>
      </c>
    </row>
    <row r="124" spans="1:9" x14ac:dyDescent="0.2">
      <c r="A124">
        <f t="shared" si="11"/>
        <v>122</v>
      </c>
      <c r="B124" t="s">
        <v>92</v>
      </c>
      <c r="C124">
        <v>7</v>
      </c>
      <c r="F124" s="2">
        <f t="shared" si="7"/>
        <v>164.75845274515399</v>
      </c>
      <c r="G124" s="2">
        <v>0</v>
      </c>
      <c r="H124" s="2">
        <f t="shared" si="12"/>
        <v>0</v>
      </c>
      <c r="I124" s="2">
        <f t="shared" si="13"/>
        <v>164.75845274515399</v>
      </c>
    </row>
    <row r="125" spans="1:9" x14ac:dyDescent="0.2">
      <c r="A125">
        <f t="shared" si="11"/>
        <v>123</v>
      </c>
      <c r="B125" t="s">
        <v>92</v>
      </c>
      <c r="C125">
        <v>7</v>
      </c>
      <c r="F125" s="2">
        <f t="shared" si="7"/>
        <v>164.75845274515399</v>
      </c>
      <c r="G125" s="2">
        <v>0</v>
      </c>
      <c r="H125" s="2">
        <f t="shared" si="12"/>
        <v>0</v>
      </c>
      <c r="I125" s="2">
        <f t="shared" si="13"/>
        <v>164.75845274515399</v>
      </c>
    </row>
    <row r="126" spans="1:9" x14ac:dyDescent="0.2">
      <c r="A126">
        <f t="shared" si="11"/>
        <v>124</v>
      </c>
      <c r="B126" t="s">
        <v>93</v>
      </c>
      <c r="C126">
        <v>7</v>
      </c>
      <c r="F126" s="2">
        <f t="shared" si="7"/>
        <v>164.75845274515399</v>
      </c>
      <c r="G126" s="2">
        <v>0</v>
      </c>
      <c r="H126" s="2">
        <f t="shared" si="12"/>
        <v>0</v>
      </c>
      <c r="I126" s="2">
        <f t="shared" si="13"/>
        <v>164.75845274515399</v>
      </c>
    </row>
    <row r="127" spans="1:9" x14ac:dyDescent="0.2">
      <c r="A127">
        <f t="shared" si="11"/>
        <v>125</v>
      </c>
      <c r="B127" t="s">
        <v>93</v>
      </c>
      <c r="C127">
        <v>7</v>
      </c>
      <c r="F127" s="2">
        <f t="shared" si="7"/>
        <v>164.75845274515399</v>
      </c>
      <c r="G127" s="2">
        <v>0</v>
      </c>
      <c r="H127" s="2">
        <f t="shared" si="12"/>
        <v>0</v>
      </c>
      <c r="I127" s="2">
        <f t="shared" si="13"/>
        <v>164.75845274515399</v>
      </c>
    </row>
    <row r="128" spans="1:9" x14ac:dyDescent="0.2">
      <c r="A128">
        <f t="shared" si="11"/>
        <v>126</v>
      </c>
      <c r="B128" t="s">
        <v>94</v>
      </c>
      <c r="C128">
        <v>7</v>
      </c>
      <c r="F128" s="2">
        <f t="shared" si="7"/>
        <v>164.75845274515399</v>
      </c>
      <c r="G128" s="2">
        <v>0</v>
      </c>
      <c r="H128" s="2">
        <f t="shared" si="12"/>
        <v>0</v>
      </c>
      <c r="I128" s="2">
        <f t="shared" si="13"/>
        <v>164.75845274515399</v>
      </c>
    </row>
    <row r="129" spans="1:9" x14ac:dyDescent="0.2">
      <c r="A129">
        <f t="shared" si="11"/>
        <v>127</v>
      </c>
      <c r="B129" t="s">
        <v>94</v>
      </c>
      <c r="C129">
        <v>7</v>
      </c>
      <c r="F129" s="2">
        <f t="shared" si="7"/>
        <v>164.75845274515399</v>
      </c>
      <c r="G129" s="2">
        <v>0</v>
      </c>
      <c r="H129" s="2">
        <f t="shared" si="12"/>
        <v>0</v>
      </c>
      <c r="I129" s="2">
        <f t="shared" si="13"/>
        <v>164.75845274515399</v>
      </c>
    </row>
    <row r="130" spans="1:9" x14ac:dyDescent="0.2">
      <c r="A130" s="7" t="s">
        <v>114</v>
      </c>
    </row>
  </sheetData>
  <mergeCells count="2">
    <mergeCell ref="R2:S2"/>
    <mergeCell ref="A1:I1"/>
  </mergeCells>
  <conditionalFormatting sqref="P2">
    <cfRule type="colorScale" priority="20">
      <colorScale>
        <cfvo type="min"/>
        <cfvo type="percentile" val="50"/>
        <cfvo type="max"/>
        <color rgb="FFF8696B"/>
        <color rgb="FFFFEB84"/>
        <color rgb="FF63BE7B"/>
      </colorScale>
    </cfRule>
  </conditionalFormatting>
  <conditionalFormatting sqref="P3:P7">
    <cfRule type="colorScale" priority="15">
      <colorScale>
        <cfvo type="min"/>
        <cfvo type="percentile" val="50"/>
        <cfvo type="max"/>
        <color rgb="FFF8696B"/>
        <color rgb="FFFFEB84"/>
        <color rgb="FF63BE7B"/>
      </colorScale>
    </cfRule>
  </conditionalFormatting>
  <conditionalFormatting sqref="P11:P12">
    <cfRule type="colorScale" priority="14">
      <colorScale>
        <cfvo type="min"/>
        <cfvo type="percentile" val="50"/>
        <cfvo type="max"/>
        <color rgb="FFF8696B"/>
        <color rgb="FFFFEB84"/>
        <color rgb="FF63BE7B"/>
      </colorScale>
    </cfRule>
  </conditionalFormatting>
  <conditionalFormatting sqref="P3:P7 P11:P12">
    <cfRule type="colorScale" priority="13">
      <colorScale>
        <cfvo type="min"/>
        <cfvo type="percentile" val="50"/>
        <cfvo type="max"/>
        <color rgb="FFF8696B"/>
        <color rgb="FFFFEB84"/>
        <color rgb="FF63BE7B"/>
      </colorScale>
    </cfRule>
  </conditionalFormatting>
  <conditionalFormatting sqref="P8:P10">
    <cfRule type="colorScale" priority="10">
      <colorScale>
        <cfvo type="min"/>
        <cfvo type="percentile" val="50"/>
        <cfvo type="max"/>
        <color rgb="FFF8696B"/>
        <color rgb="FFFFEB84"/>
        <color rgb="FF63BE7B"/>
      </colorScale>
    </cfRule>
  </conditionalFormatting>
  <conditionalFormatting sqref="P8:P10">
    <cfRule type="colorScale" priority="9">
      <colorScale>
        <cfvo type="min"/>
        <cfvo type="percentile" val="50"/>
        <cfvo type="max"/>
        <color rgb="FFF8696B"/>
        <color rgb="FFFFEB84"/>
        <color rgb="FF63BE7B"/>
      </colorScale>
    </cfRule>
  </conditionalFormatting>
  <conditionalFormatting sqref="P3">
    <cfRule type="colorScale" priority="8">
      <colorScale>
        <cfvo type="min"/>
        <cfvo type="percentile" val="50"/>
        <cfvo type="max"/>
        <color rgb="FFF8696B"/>
        <color rgb="FFFFEB84"/>
        <color rgb="FF63BE7B"/>
      </colorScale>
    </cfRule>
  </conditionalFormatting>
  <conditionalFormatting sqref="S3">
    <cfRule type="colorScale" priority="7">
      <colorScale>
        <cfvo type="min"/>
        <cfvo type="percentile" val="50"/>
        <cfvo type="max"/>
        <color rgb="FFF8696B"/>
        <color rgb="FFFFEB84"/>
        <color rgb="FF63BE7B"/>
      </colorScale>
    </cfRule>
  </conditionalFormatting>
  <conditionalFormatting sqref="S4:S8">
    <cfRule type="colorScale" priority="6">
      <colorScale>
        <cfvo type="min"/>
        <cfvo type="percentile" val="50"/>
        <cfvo type="max"/>
        <color rgb="FFF8696B"/>
        <color rgb="FFFFEB84"/>
        <color rgb="FF63BE7B"/>
      </colorScale>
    </cfRule>
  </conditionalFormatting>
  <conditionalFormatting sqref="S12:S13">
    <cfRule type="colorScale" priority="5">
      <colorScale>
        <cfvo type="min"/>
        <cfvo type="percentile" val="50"/>
        <cfvo type="max"/>
        <color rgb="FFF8696B"/>
        <color rgb="FFFFEB84"/>
        <color rgb="FF63BE7B"/>
      </colorScale>
    </cfRule>
  </conditionalFormatting>
  <conditionalFormatting sqref="S4:S8 S12:S13">
    <cfRule type="colorScale" priority="4">
      <colorScale>
        <cfvo type="min"/>
        <cfvo type="percentile" val="50"/>
        <cfvo type="max"/>
        <color rgb="FFF8696B"/>
        <color rgb="FFFFEB84"/>
        <color rgb="FF63BE7B"/>
      </colorScale>
    </cfRule>
  </conditionalFormatting>
  <conditionalFormatting sqref="S9:S11">
    <cfRule type="colorScale" priority="3">
      <colorScale>
        <cfvo type="min"/>
        <cfvo type="percentile" val="50"/>
        <cfvo type="max"/>
        <color rgb="FFF8696B"/>
        <color rgb="FFFFEB84"/>
        <color rgb="FF63BE7B"/>
      </colorScale>
    </cfRule>
  </conditionalFormatting>
  <conditionalFormatting sqref="S9:S11">
    <cfRule type="colorScale" priority="2">
      <colorScale>
        <cfvo type="min"/>
        <cfvo type="percentile" val="50"/>
        <cfvo type="max"/>
        <color rgb="FFF8696B"/>
        <color rgb="FFFFEB84"/>
        <color rgb="FF63BE7B"/>
      </colorScale>
    </cfRule>
  </conditionalFormatting>
  <conditionalFormatting sqref="S4">
    <cfRule type="colorScale" priority="1">
      <colorScale>
        <cfvo type="min"/>
        <cfvo type="percentile" val="50"/>
        <cfvo type="max"/>
        <color rgb="FFF8696B"/>
        <color rgb="FFFFEB84"/>
        <color rgb="FF63BE7B"/>
      </colorScale>
    </cfRule>
  </conditionalFormatting>
  <pageMargins left="0.7" right="0.7" top="0.75" bottom="0.75" header="0.3" footer="0.3"/>
  <drawing r:id="rId1"/>
  <mc:AlternateContent xmlns:mc="http://schemas.openxmlformats.org/markup-compatibility/2006">
    <mc:Choice Requires="v">
      <legacyDrawing r:id="rId2"/>
    </mc:Choice>
  </mc:AlternateContent>
</worksheet>
</file>

<file path=xl/worksheets/sheet3.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29DE4-44F8-CD48-9DA6-6E58791B1CE9}">
  <dimension ref="A1:T130"/>
  <sheetViews>
    <sheetView zoomScale="150" workbookViewId="0">
      <selection activeCell="D5" sqref="D5"/>
    </sheetView>
  </sheetViews>
  <sheetFormatPr baseColWidth="10" defaultRowHeight="16" x14ac:dyDescent="0.2"/>
  <cols>
    <col min="1" max="1" width="12.6640625" bestFit="1" customWidth="1"/>
    <col min="3" max="3" width="9.83203125" customWidth="1"/>
    <col min="5" max="5" width="10.1640625" customWidth="1"/>
    <col min="6" max="6" width="10.1640625" style="2" customWidth="1"/>
    <col min="7" max="8" width="10.83203125" style="2"/>
    <col min="9" max="9" width="20.1640625" style="2" customWidth="1"/>
    <col min="11" max="11" width="10.5" bestFit="1" customWidth="1"/>
    <col min="12" max="12" width="27.6640625" bestFit="1" customWidth="1"/>
    <col min="13" max="13" width="13.33203125" bestFit="1" customWidth="1"/>
    <col min="14" max="14" width="13.33203125" customWidth="1"/>
    <col min="15" max="15" width="9.83203125" customWidth="1"/>
    <col min="16" max="16" width="12.5" bestFit="1" customWidth="1"/>
    <col min="17" max="17" width="21.83203125" bestFit="1" customWidth="1"/>
  </cols>
  <sheetData>
    <row r="1" spans="1:20" x14ac:dyDescent="0.2">
      <c r="A1" s="5" t="s">
        <v>109</v>
      </c>
      <c r="B1" s="4"/>
      <c r="C1" s="4"/>
      <c r="D1" s="4"/>
      <c r="E1" s="4"/>
      <c r="F1" s="4"/>
      <c r="G1" s="4"/>
      <c r="H1" s="4"/>
      <c r="I1" s="4"/>
    </row>
    <row r="2" spans="1:20" x14ac:dyDescent="0.2">
      <c r="A2" t="s">
        <v>82</v>
      </c>
      <c r="B2" t="s">
        <v>95</v>
      </c>
      <c r="C2" t="s">
        <v>104</v>
      </c>
      <c r="D2" t="s">
        <v>105</v>
      </c>
      <c r="E2" t="s">
        <v>106</v>
      </c>
      <c r="F2" s="2" t="s">
        <v>99</v>
      </c>
      <c r="G2" s="2" t="s">
        <v>100</v>
      </c>
      <c r="H2" s="2" t="s">
        <v>101</v>
      </c>
      <c r="I2" s="2" t="s">
        <v>102</v>
      </c>
      <c r="K2" t="s">
        <v>0</v>
      </c>
      <c r="L2" t="s">
        <v>1</v>
      </c>
      <c r="M2" s="1" t="s">
        <v>2</v>
      </c>
      <c r="N2" s="1" t="s">
        <v>3</v>
      </c>
      <c r="O2" s="6" t="s">
        <v>107</v>
      </c>
      <c r="P2" s="6" t="s">
        <v>108</v>
      </c>
      <c r="Q2" s="3"/>
      <c r="S2" s="4" t="s">
        <v>103</v>
      </c>
      <c r="T2" s="4"/>
    </row>
    <row r="3" spans="1:20" x14ac:dyDescent="0.2">
      <c r="A3">
        <v>1</v>
      </c>
      <c r="B3" t="s">
        <v>83</v>
      </c>
      <c r="C3">
        <v>19</v>
      </c>
      <c r="D3">
        <v>42</v>
      </c>
      <c r="E3">
        <v>40</v>
      </c>
      <c r="F3" s="2">
        <f>VLOOKUP(C3,$S$3:$T$13,2,FALSE)</f>
        <v>178.785914224572</v>
      </c>
      <c r="G3" s="2">
        <f t="shared" ref="G3:H18" si="0">VLOOKUP(D3,$S$3:$T$13,2,FALSE)</f>
        <v>153.14194411737799</v>
      </c>
      <c r="H3" s="2">
        <f t="shared" si="0"/>
        <v>138.556641906034</v>
      </c>
      <c r="I3" s="2">
        <f>F3+G3+H3</f>
        <v>470.48450024798399</v>
      </c>
      <c r="K3">
        <v>19</v>
      </c>
      <c r="L3" t="s">
        <v>21</v>
      </c>
      <c r="M3" s="1">
        <v>0.30492676429999999</v>
      </c>
      <c r="N3" s="3">
        <v>178.785914224572</v>
      </c>
      <c r="O3" s="2">
        <f>10/M3</f>
        <v>32.794759826859845</v>
      </c>
      <c r="P3" s="2">
        <f xml:space="preserve"> COUNTIF(E:E,K3) + COUNTIF(C:C,K3) + COUNTIF(D:D,K3)</f>
        <v>33</v>
      </c>
      <c r="Q3" s="3"/>
      <c r="S3" t="s">
        <v>0</v>
      </c>
      <c r="T3" s="1" t="s">
        <v>3</v>
      </c>
    </row>
    <row r="4" spans="1:20" x14ac:dyDescent="0.2">
      <c r="A4">
        <f>A3+1</f>
        <v>2</v>
      </c>
      <c r="B4" t="s">
        <v>83</v>
      </c>
      <c r="C4">
        <v>19</v>
      </c>
      <c r="D4">
        <v>42</v>
      </c>
      <c r="E4">
        <v>40</v>
      </c>
      <c r="F4" s="2">
        <f t="shared" ref="F4:F67" si="1">VLOOKUP(C4,$S$3:$T$13,2,FALSE)</f>
        <v>178.785914224572</v>
      </c>
      <c r="G4" s="2">
        <f t="shared" ref="G4:G67" si="2">VLOOKUP(D4,$S$3:$T$13,2,FALSE)</f>
        <v>153.14194411737799</v>
      </c>
      <c r="H4" s="2">
        <f t="shared" ref="H4:H67" si="3">VLOOKUP(E4,$S$3:$T$13,2,FALSE)</f>
        <v>138.556641906034</v>
      </c>
      <c r="I4" s="2">
        <f t="shared" ref="I4:I67" si="4">F4+G4+H4</f>
        <v>470.48450024798399</v>
      </c>
      <c r="K4">
        <v>42</v>
      </c>
      <c r="L4" t="s">
        <v>44</v>
      </c>
      <c r="M4" s="1">
        <v>0.4606334842</v>
      </c>
      <c r="N4" s="3">
        <v>153.14194411737799</v>
      </c>
      <c r="O4" s="2">
        <f t="shared" ref="O4:O12" si="5">10/M4</f>
        <v>21.709233789999846</v>
      </c>
      <c r="P4" s="2">
        <f t="shared" ref="P4:P12" si="6" xml:space="preserve"> COUNTIF(E:E,K4) + COUNTIF(C:C,K4) + COUNTIF(D:D,K4)</f>
        <v>22</v>
      </c>
      <c r="Q4" s="3"/>
      <c r="S4">
        <v>19</v>
      </c>
      <c r="T4" s="3">
        <v>178.785914224572</v>
      </c>
    </row>
    <row r="5" spans="1:20" x14ac:dyDescent="0.2">
      <c r="A5">
        <f t="shared" ref="A5:A68" si="7">A4+1</f>
        <v>3</v>
      </c>
      <c r="B5" t="s">
        <v>84</v>
      </c>
      <c r="C5">
        <v>19</v>
      </c>
      <c r="D5">
        <v>42</v>
      </c>
      <c r="E5">
        <v>40</v>
      </c>
      <c r="F5" s="2">
        <f t="shared" si="1"/>
        <v>178.785914224572</v>
      </c>
      <c r="G5" s="2">
        <f t="shared" si="2"/>
        <v>153.14194411737799</v>
      </c>
      <c r="H5" s="2">
        <f t="shared" si="3"/>
        <v>138.556641906034</v>
      </c>
      <c r="I5" s="2">
        <f t="shared" si="4"/>
        <v>470.48450024798399</v>
      </c>
      <c r="K5">
        <v>40</v>
      </c>
      <c r="L5" t="s">
        <v>42</v>
      </c>
      <c r="M5" s="1">
        <v>0.44103547459999998</v>
      </c>
      <c r="N5" s="3">
        <v>138.556641906034</v>
      </c>
      <c r="O5" s="2">
        <f t="shared" si="5"/>
        <v>22.673913043093791</v>
      </c>
      <c r="P5" s="2">
        <f t="shared" si="6"/>
        <v>23</v>
      </c>
      <c r="Q5" s="3"/>
      <c r="S5">
        <v>42</v>
      </c>
      <c r="T5" s="3">
        <v>153.14194411737799</v>
      </c>
    </row>
    <row r="6" spans="1:20" x14ac:dyDescent="0.2">
      <c r="A6">
        <f t="shared" si="7"/>
        <v>4</v>
      </c>
      <c r="B6" t="s">
        <v>84</v>
      </c>
      <c r="C6">
        <v>19</v>
      </c>
      <c r="D6">
        <v>42</v>
      </c>
      <c r="E6">
        <v>40</v>
      </c>
      <c r="F6" s="2">
        <f t="shared" si="1"/>
        <v>178.785914224572</v>
      </c>
      <c r="G6" s="2">
        <f t="shared" si="2"/>
        <v>153.14194411737799</v>
      </c>
      <c r="H6" s="2">
        <f t="shared" si="3"/>
        <v>138.556641906034</v>
      </c>
      <c r="I6" s="2">
        <f t="shared" si="4"/>
        <v>470.48450024798399</v>
      </c>
      <c r="K6">
        <v>66</v>
      </c>
      <c r="L6" t="s">
        <v>68</v>
      </c>
      <c r="M6" s="1">
        <v>0.85913312689999999</v>
      </c>
      <c r="N6" s="3">
        <v>127.63057006057301</v>
      </c>
      <c r="O6" s="2">
        <f t="shared" si="5"/>
        <v>11.639639640113614</v>
      </c>
      <c r="P6" s="2">
        <f t="shared" si="6"/>
        <v>12</v>
      </c>
      <c r="Q6" s="3"/>
      <c r="S6">
        <v>40</v>
      </c>
      <c r="T6" s="3">
        <v>138.556641906034</v>
      </c>
    </row>
    <row r="7" spans="1:20" x14ac:dyDescent="0.2">
      <c r="A7">
        <f t="shared" si="7"/>
        <v>5</v>
      </c>
      <c r="B7" t="s">
        <v>85</v>
      </c>
      <c r="C7">
        <v>19</v>
      </c>
      <c r="D7">
        <v>42</v>
      </c>
      <c r="E7">
        <v>40</v>
      </c>
      <c r="F7" s="2">
        <f t="shared" si="1"/>
        <v>178.785914224572</v>
      </c>
      <c r="G7" s="2">
        <f t="shared" si="2"/>
        <v>153.14194411737799</v>
      </c>
      <c r="H7" s="2">
        <f t="shared" si="3"/>
        <v>138.556641906034</v>
      </c>
      <c r="I7" s="2">
        <f t="shared" si="4"/>
        <v>470.48450024798399</v>
      </c>
      <c r="K7">
        <v>17</v>
      </c>
      <c r="L7" t="s">
        <v>19</v>
      </c>
      <c r="M7" s="1">
        <v>0.31275720159999998</v>
      </c>
      <c r="N7" s="3">
        <v>104.654886312782</v>
      </c>
      <c r="O7" s="2">
        <f t="shared" si="5"/>
        <v>31.973684215238229</v>
      </c>
      <c r="P7" s="2">
        <f t="shared" si="6"/>
        <v>32</v>
      </c>
      <c r="Q7" s="3"/>
      <c r="S7">
        <v>66</v>
      </c>
      <c r="T7" s="3">
        <v>127.63057006057301</v>
      </c>
    </row>
    <row r="8" spans="1:20" x14ac:dyDescent="0.2">
      <c r="A8">
        <f t="shared" si="7"/>
        <v>6</v>
      </c>
      <c r="B8" t="s">
        <v>85</v>
      </c>
      <c r="C8">
        <v>19</v>
      </c>
      <c r="D8">
        <v>42</v>
      </c>
      <c r="E8">
        <v>40</v>
      </c>
      <c r="F8" s="2">
        <f t="shared" si="1"/>
        <v>178.785914224572</v>
      </c>
      <c r="G8" s="2">
        <f t="shared" si="2"/>
        <v>153.14194411737799</v>
      </c>
      <c r="H8" s="2">
        <f t="shared" si="3"/>
        <v>138.556641906034</v>
      </c>
      <c r="I8" s="2">
        <f t="shared" si="4"/>
        <v>470.48450024798399</v>
      </c>
      <c r="K8">
        <v>54</v>
      </c>
      <c r="L8" t="s">
        <v>56</v>
      </c>
      <c r="M8" s="1">
        <v>0.69139465879999995</v>
      </c>
      <c r="N8" s="3">
        <v>95.714566083624902</v>
      </c>
      <c r="O8" s="2">
        <f t="shared" si="5"/>
        <v>14.463519312336349</v>
      </c>
      <c r="P8" s="2">
        <f t="shared" si="6"/>
        <v>14</v>
      </c>
      <c r="Q8" s="3"/>
      <c r="S8">
        <v>17</v>
      </c>
      <c r="T8" s="3">
        <v>104.654886312782</v>
      </c>
    </row>
    <row r="9" spans="1:20" x14ac:dyDescent="0.2">
      <c r="A9">
        <f t="shared" si="7"/>
        <v>7</v>
      </c>
      <c r="B9" t="s">
        <v>86</v>
      </c>
      <c r="C9">
        <v>19</v>
      </c>
      <c r="D9">
        <v>42</v>
      </c>
      <c r="E9">
        <v>40</v>
      </c>
      <c r="F9" s="2">
        <f t="shared" si="1"/>
        <v>178.785914224572</v>
      </c>
      <c r="G9" s="2">
        <f t="shared" si="2"/>
        <v>153.14194411737799</v>
      </c>
      <c r="H9" s="2">
        <f t="shared" si="3"/>
        <v>138.556641906034</v>
      </c>
      <c r="I9" s="2">
        <f t="shared" si="4"/>
        <v>470.48450024798399</v>
      </c>
      <c r="K9">
        <v>31</v>
      </c>
      <c r="L9" t="s">
        <v>33</v>
      </c>
      <c r="M9" s="1">
        <v>0.3270072993</v>
      </c>
      <c r="N9" s="3">
        <v>81.052349503152001</v>
      </c>
      <c r="O9" s="2">
        <f t="shared" si="5"/>
        <v>30.580357140058496</v>
      </c>
      <c r="P9" s="2">
        <f t="shared" si="6"/>
        <v>31</v>
      </c>
      <c r="Q9" s="3"/>
      <c r="S9">
        <v>54</v>
      </c>
      <c r="T9" s="3">
        <v>95.714566083624902</v>
      </c>
    </row>
    <row r="10" spans="1:20" x14ac:dyDescent="0.2">
      <c r="A10">
        <f t="shared" si="7"/>
        <v>8</v>
      </c>
      <c r="B10" t="s">
        <v>86</v>
      </c>
      <c r="C10">
        <v>19</v>
      </c>
      <c r="D10">
        <v>42</v>
      </c>
      <c r="E10">
        <v>40</v>
      </c>
      <c r="F10" s="2">
        <f t="shared" si="1"/>
        <v>178.785914224572</v>
      </c>
      <c r="G10" s="2">
        <f t="shared" si="2"/>
        <v>153.14194411737799</v>
      </c>
      <c r="H10" s="2">
        <f t="shared" si="3"/>
        <v>138.556641906034</v>
      </c>
      <c r="I10" s="2">
        <f t="shared" si="4"/>
        <v>470.48450024798399</v>
      </c>
      <c r="K10">
        <v>67</v>
      </c>
      <c r="L10" t="s">
        <v>69</v>
      </c>
      <c r="M10" s="1">
        <v>0.79129129129999998</v>
      </c>
      <c r="N10" s="3">
        <v>68.702517107594701</v>
      </c>
      <c r="O10" s="2">
        <f t="shared" si="5"/>
        <v>12.637571157356172</v>
      </c>
      <c r="P10" s="2">
        <f t="shared" si="6"/>
        <v>13</v>
      </c>
      <c r="Q10" s="3"/>
      <c r="S10">
        <v>31</v>
      </c>
      <c r="T10" s="3">
        <v>81.052349503152001</v>
      </c>
    </row>
    <row r="11" spans="1:20" x14ac:dyDescent="0.2">
      <c r="A11">
        <f t="shared" si="7"/>
        <v>9</v>
      </c>
      <c r="B11" t="s">
        <v>87</v>
      </c>
      <c r="C11">
        <v>19</v>
      </c>
      <c r="D11">
        <v>42</v>
      </c>
      <c r="E11">
        <v>40</v>
      </c>
      <c r="F11" s="2">
        <f t="shared" si="1"/>
        <v>178.785914224572</v>
      </c>
      <c r="G11" s="2">
        <f t="shared" si="2"/>
        <v>153.14194411737799</v>
      </c>
      <c r="H11" s="2">
        <f t="shared" si="3"/>
        <v>138.556641906034</v>
      </c>
      <c r="I11" s="2">
        <f t="shared" si="4"/>
        <v>470.48450024798399</v>
      </c>
      <c r="K11">
        <v>39</v>
      </c>
      <c r="L11" t="s">
        <v>41</v>
      </c>
      <c r="M11" s="1">
        <v>0.41102941180000002</v>
      </c>
      <c r="N11" s="3">
        <v>46.191543883178298</v>
      </c>
      <c r="O11" s="2">
        <f t="shared" si="5"/>
        <v>24.329159210791055</v>
      </c>
      <c r="P11" s="2">
        <f t="shared" si="6"/>
        <v>24</v>
      </c>
      <c r="Q11" s="3"/>
      <c r="S11">
        <v>67</v>
      </c>
      <c r="T11" s="3">
        <v>68.702517107594701</v>
      </c>
    </row>
    <row r="12" spans="1:20" x14ac:dyDescent="0.2">
      <c r="A12">
        <f t="shared" si="7"/>
        <v>10</v>
      </c>
      <c r="B12" t="s">
        <v>87</v>
      </c>
      <c r="C12">
        <v>19</v>
      </c>
      <c r="D12">
        <v>42</v>
      </c>
      <c r="E12">
        <v>40</v>
      </c>
      <c r="F12" s="2">
        <f t="shared" si="1"/>
        <v>178.785914224572</v>
      </c>
      <c r="G12" s="2">
        <f t="shared" si="2"/>
        <v>153.14194411737799</v>
      </c>
      <c r="H12" s="2">
        <f t="shared" si="3"/>
        <v>138.556641906034</v>
      </c>
      <c r="I12" s="2">
        <f t="shared" si="4"/>
        <v>470.48450024798399</v>
      </c>
      <c r="K12">
        <v>28</v>
      </c>
      <c r="L12" t="s">
        <v>30</v>
      </c>
      <c r="M12" s="1">
        <v>0.41253507950000001</v>
      </c>
      <c r="N12" s="3">
        <v>32.008549973834299</v>
      </c>
      <c r="O12" s="2">
        <f t="shared" si="5"/>
        <v>24.240362812588401</v>
      </c>
      <c r="P12" s="2">
        <f t="shared" si="6"/>
        <v>24</v>
      </c>
      <c r="Q12" s="3"/>
      <c r="S12">
        <v>39</v>
      </c>
      <c r="T12" s="3">
        <v>46.191543883178298</v>
      </c>
    </row>
    <row r="13" spans="1:20" x14ac:dyDescent="0.2">
      <c r="A13">
        <f t="shared" si="7"/>
        <v>11</v>
      </c>
      <c r="B13" t="s">
        <v>88</v>
      </c>
      <c r="C13">
        <v>19</v>
      </c>
      <c r="D13">
        <v>42</v>
      </c>
      <c r="E13">
        <v>40</v>
      </c>
      <c r="F13" s="2">
        <f t="shared" si="1"/>
        <v>178.785914224572</v>
      </c>
      <c r="G13" s="2">
        <f t="shared" si="2"/>
        <v>153.14194411737799</v>
      </c>
      <c r="H13" s="2">
        <f t="shared" si="3"/>
        <v>138.556641906034</v>
      </c>
      <c r="I13" s="2">
        <f t="shared" si="4"/>
        <v>470.48450024798399</v>
      </c>
      <c r="L13" t="s">
        <v>116</v>
      </c>
      <c r="S13">
        <v>28</v>
      </c>
      <c r="T13" s="3">
        <v>32.008549973834299</v>
      </c>
    </row>
    <row r="14" spans="1:20" x14ac:dyDescent="0.2">
      <c r="A14">
        <f t="shared" si="7"/>
        <v>12</v>
      </c>
      <c r="B14" t="s">
        <v>88</v>
      </c>
      <c r="C14">
        <v>19</v>
      </c>
      <c r="D14">
        <v>42</v>
      </c>
      <c r="E14">
        <v>40</v>
      </c>
      <c r="F14" s="2">
        <f t="shared" si="1"/>
        <v>178.785914224572</v>
      </c>
      <c r="G14" s="2">
        <f t="shared" si="2"/>
        <v>153.14194411737799</v>
      </c>
      <c r="H14" s="2">
        <f t="shared" si="3"/>
        <v>138.556641906034</v>
      </c>
      <c r="I14" s="2">
        <f t="shared" si="4"/>
        <v>470.48450024798399</v>
      </c>
      <c r="L14" t="s">
        <v>118</v>
      </c>
    </row>
    <row r="15" spans="1:20" x14ac:dyDescent="0.2">
      <c r="A15">
        <f t="shared" si="7"/>
        <v>13</v>
      </c>
      <c r="B15" t="s">
        <v>89</v>
      </c>
      <c r="C15">
        <v>19</v>
      </c>
      <c r="D15">
        <v>42</v>
      </c>
      <c r="E15">
        <v>40</v>
      </c>
      <c r="F15" s="2">
        <f t="shared" si="1"/>
        <v>178.785914224572</v>
      </c>
      <c r="G15" s="2">
        <f t="shared" si="2"/>
        <v>153.14194411737799</v>
      </c>
      <c r="H15" s="2">
        <f t="shared" si="3"/>
        <v>138.556641906034</v>
      </c>
      <c r="I15" s="2">
        <f t="shared" si="4"/>
        <v>470.48450024798399</v>
      </c>
    </row>
    <row r="16" spans="1:20" x14ac:dyDescent="0.2">
      <c r="A16">
        <f t="shared" si="7"/>
        <v>14</v>
      </c>
      <c r="B16" t="s">
        <v>89</v>
      </c>
      <c r="C16">
        <v>19</v>
      </c>
      <c r="D16">
        <v>42</v>
      </c>
      <c r="E16">
        <v>40</v>
      </c>
      <c r="F16" s="2">
        <f t="shared" si="1"/>
        <v>178.785914224572</v>
      </c>
      <c r="G16" s="2">
        <f t="shared" si="2"/>
        <v>153.14194411737799</v>
      </c>
      <c r="H16" s="2">
        <f t="shared" si="3"/>
        <v>138.556641906034</v>
      </c>
      <c r="I16" s="2">
        <f t="shared" si="4"/>
        <v>470.48450024798399</v>
      </c>
    </row>
    <row r="17" spans="1:12" x14ac:dyDescent="0.2">
      <c r="A17">
        <f t="shared" si="7"/>
        <v>15</v>
      </c>
      <c r="B17" t="s">
        <v>90</v>
      </c>
      <c r="C17">
        <v>19</v>
      </c>
      <c r="D17">
        <v>42</v>
      </c>
      <c r="E17">
        <v>40</v>
      </c>
      <c r="F17" s="2">
        <f t="shared" si="1"/>
        <v>178.785914224572</v>
      </c>
      <c r="G17" s="2">
        <f t="shared" si="2"/>
        <v>153.14194411737799</v>
      </c>
      <c r="H17" s="2">
        <f t="shared" si="3"/>
        <v>138.556641906034</v>
      </c>
      <c r="I17" s="2">
        <f t="shared" si="4"/>
        <v>470.48450024798399</v>
      </c>
      <c r="L17" t="s">
        <v>117</v>
      </c>
    </row>
    <row r="18" spans="1:12" x14ac:dyDescent="0.2">
      <c r="A18">
        <f t="shared" si="7"/>
        <v>16</v>
      </c>
      <c r="B18" t="s">
        <v>90</v>
      </c>
      <c r="C18">
        <v>19</v>
      </c>
      <c r="D18">
        <v>42</v>
      </c>
      <c r="E18">
        <v>40</v>
      </c>
      <c r="F18" s="2">
        <f t="shared" si="1"/>
        <v>178.785914224572</v>
      </c>
      <c r="G18" s="2">
        <f t="shared" si="2"/>
        <v>153.14194411737799</v>
      </c>
      <c r="H18" s="2">
        <f t="shared" si="3"/>
        <v>138.556641906034</v>
      </c>
      <c r="I18" s="2">
        <f t="shared" si="4"/>
        <v>470.48450024798399</v>
      </c>
      <c r="L18" t="s">
        <v>110</v>
      </c>
    </row>
    <row r="19" spans="1:12" x14ac:dyDescent="0.2">
      <c r="A19">
        <f t="shared" si="7"/>
        <v>17</v>
      </c>
      <c r="B19" t="s">
        <v>91</v>
      </c>
      <c r="C19">
        <v>19</v>
      </c>
      <c r="D19">
        <v>42</v>
      </c>
      <c r="E19">
        <v>40</v>
      </c>
      <c r="F19" s="2">
        <f t="shared" si="1"/>
        <v>178.785914224572</v>
      </c>
      <c r="G19" s="2">
        <f t="shared" si="2"/>
        <v>153.14194411737799</v>
      </c>
      <c r="H19" s="2">
        <f t="shared" si="3"/>
        <v>138.556641906034</v>
      </c>
      <c r="I19" s="2">
        <f t="shared" si="4"/>
        <v>470.48450024798399</v>
      </c>
      <c r="L19" t="s">
        <v>119</v>
      </c>
    </row>
    <row r="20" spans="1:12" x14ac:dyDescent="0.2">
      <c r="A20">
        <f t="shared" si="7"/>
        <v>18</v>
      </c>
      <c r="B20" t="s">
        <v>91</v>
      </c>
      <c r="C20">
        <v>19</v>
      </c>
      <c r="D20">
        <v>42</v>
      </c>
      <c r="E20">
        <v>40</v>
      </c>
      <c r="F20" s="2">
        <f t="shared" si="1"/>
        <v>178.785914224572</v>
      </c>
      <c r="G20" s="2">
        <f t="shared" si="2"/>
        <v>153.14194411737799</v>
      </c>
      <c r="H20" s="2">
        <f t="shared" si="3"/>
        <v>138.556641906034</v>
      </c>
      <c r="I20" s="2">
        <f t="shared" si="4"/>
        <v>470.48450024798399</v>
      </c>
      <c r="L20" t="s">
        <v>120</v>
      </c>
    </row>
    <row r="21" spans="1:12" x14ac:dyDescent="0.2">
      <c r="A21">
        <f t="shared" si="7"/>
        <v>19</v>
      </c>
      <c r="B21" t="s">
        <v>92</v>
      </c>
      <c r="C21">
        <v>19</v>
      </c>
      <c r="D21">
        <v>42</v>
      </c>
      <c r="E21">
        <v>40</v>
      </c>
      <c r="F21" s="2">
        <f t="shared" si="1"/>
        <v>178.785914224572</v>
      </c>
      <c r="G21" s="2">
        <f t="shared" si="2"/>
        <v>153.14194411737799</v>
      </c>
      <c r="H21" s="2">
        <f t="shared" si="3"/>
        <v>138.556641906034</v>
      </c>
      <c r="I21" s="2">
        <f t="shared" si="4"/>
        <v>470.48450024798399</v>
      </c>
    </row>
    <row r="22" spans="1:12" x14ac:dyDescent="0.2">
      <c r="A22">
        <f t="shared" si="7"/>
        <v>20</v>
      </c>
      <c r="B22" t="s">
        <v>92</v>
      </c>
      <c r="C22">
        <v>19</v>
      </c>
      <c r="D22">
        <v>42</v>
      </c>
      <c r="E22">
        <v>40</v>
      </c>
      <c r="F22" s="2">
        <f t="shared" si="1"/>
        <v>178.785914224572</v>
      </c>
      <c r="G22" s="2">
        <f t="shared" si="2"/>
        <v>153.14194411737799</v>
      </c>
      <c r="H22" s="2">
        <f t="shared" si="3"/>
        <v>138.556641906034</v>
      </c>
      <c r="I22" s="2">
        <f t="shared" si="4"/>
        <v>470.48450024798399</v>
      </c>
    </row>
    <row r="23" spans="1:12" x14ac:dyDescent="0.2">
      <c r="A23">
        <f t="shared" si="7"/>
        <v>21</v>
      </c>
      <c r="B23" t="s">
        <v>93</v>
      </c>
      <c r="C23">
        <v>19</v>
      </c>
      <c r="D23">
        <v>42</v>
      </c>
      <c r="E23">
        <v>40</v>
      </c>
      <c r="F23" s="2">
        <f t="shared" si="1"/>
        <v>178.785914224572</v>
      </c>
      <c r="G23" s="2">
        <f t="shared" si="2"/>
        <v>153.14194411737799</v>
      </c>
      <c r="H23" s="2">
        <f t="shared" si="3"/>
        <v>138.556641906034</v>
      </c>
      <c r="I23" s="2">
        <f t="shared" si="4"/>
        <v>470.48450024798399</v>
      </c>
    </row>
    <row r="24" spans="1:12" x14ac:dyDescent="0.2">
      <c r="A24">
        <f t="shared" si="7"/>
        <v>22</v>
      </c>
      <c r="B24" t="s">
        <v>93</v>
      </c>
      <c r="C24">
        <v>19</v>
      </c>
      <c r="D24">
        <v>42</v>
      </c>
      <c r="E24">
        <v>40</v>
      </c>
      <c r="F24" s="2">
        <f t="shared" si="1"/>
        <v>178.785914224572</v>
      </c>
      <c r="G24" s="2">
        <f t="shared" si="2"/>
        <v>153.14194411737799</v>
      </c>
      <c r="H24" s="2">
        <f t="shared" si="3"/>
        <v>138.556641906034</v>
      </c>
      <c r="I24" s="2">
        <f t="shared" si="4"/>
        <v>470.48450024798399</v>
      </c>
    </row>
    <row r="25" spans="1:12" x14ac:dyDescent="0.2">
      <c r="A25">
        <f t="shared" si="7"/>
        <v>23</v>
      </c>
      <c r="B25" t="s">
        <v>94</v>
      </c>
      <c r="C25">
        <v>19</v>
      </c>
      <c r="D25">
        <v>66</v>
      </c>
      <c r="E25">
        <v>40</v>
      </c>
      <c r="F25" s="2">
        <f t="shared" si="1"/>
        <v>178.785914224572</v>
      </c>
      <c r="G25" s="2">
        <f t="shared" si="2"/>
        <v>127.63057006057301</v>
      </c>
      <c r="H25" s="2">
        <f t="shared" si="3"/>
        <v>138.556641906034</v>
      </c>
      <c r="I25" s="2">
        <f t="shared" si="4"/>
        <v>444.97312619117895</v>
      </c>
    </row>
    <row r="26" spans="1:12" x14ac:dyDescent="0.2">
      <c r="A26">
        <f t="shared" si="7"/>
        <v>24</v>
      </c>
      <c r="B26" t="s">
        <v>94</v>
      </c>
      <c r="C26">
        <v>19</v>
      </c>
      <c r="D26">
        <v>66</v>
      </c>
      <c r="E26">
        <v>17</v>
      </c>
      <c r="F26" s="2">
        <f t="shared" si="1"/>
        <v>178.785914224572</v>
      </c>
      <c r="G26" s="2">
        <f t="shared" si="2"/>
        <v>127.63057006057301</v>
      </c>
      <c r="H26" s="2">
        <f t="shared" si="3"/>
        <v>104.654886312782</v>
      </c>
      <c r="I26" s="2">
        <f t="shared" si="4"/>
        <v>411.07137059792694</v>
      </c>
    </row>
    <row r="27" spans="1:12" x14ac:dyDescent="0.2">
      <c r="A27">
        <f t="shared" si="7"/>
        <v>25</v>
      </c>
      <c r="B27" t="s">
        <v>83</v>
      </c>
      <c r="C27">
        <v>19</v>
      </c>
      <c r="D27">
        <v>66</v>
      </c>
      <c r="E27">
        <v>17</v>
      </c>
      <c r="F27" s="2">
        <f t="shared" si="1"/>
        <v>178.785914224572</v>
      </c>
      <c r="G27" s="2">
        <f t="shared" si="2"/>
        <v>127.63057006057301</v>
      </c>
      <c r="H27" s="2">
        <f t="shared" si="3"/>
        <v>104.654886312782</v>
      </c>
      <c r="I27" s="2">
        <f t="shared" si="4"/>
        <v>411.07137059792694</v>
      </c>
    </row>
    <row r="28" spans="1:12" x14ac:dyDescent="0.2">
      <c r="A28">
        <f t="shared" si="7"/>
        <v>26</v>
      </c>
      <c r="B28" t="s">
        <v>83</v>
      </c>
      <c r="C28">
        <v>19</v>
      </c>
      <c r="D28">
        <v>66</v>
      </c>
      <c r="E28">
        <v>17</v>
      </c>
      <c r="F28" s="2">
        <f t="shared" si="1"/>
        <v>178.785914224572</v>
      </c>
      <c r="G28" s="2">
        <f t="shared" si="2"/>
        <v>127.63057006057301</v>
      </c>
      <c r="H28" s="2">
        <f t="shared" si="3"/>
        <v>104.654886312782</v>
      </c>
      <c r="I28" s="2">
        <f t="shared" si="4"/>
        <v>411.07137059792694</v>
      </c>
    </row>
    <row r="29" spans="1:12" x14ac:dyDescent="0.2">
      <c r="A29">
        <f t="shared" si="7"/>
        <v>27</v>
      </c>
      <c r="B29" t="s">
        <v>84</v>
      </c>
      <c r="C29">
        <v>19</v>
      </c>
      <c r="D29">
        <v>66</v>
      </c>
      <c r="E29">
        <v>17</v>
      </c>
      <c r="F29" s="2">
        <f t="shared" si="1"/>
        <v>178.785914224572</v>
      </c>
      <c r="G29" s="2">
        <f t="shared" si="2"/>
        <v>127.63057006057301</v>
      </c>
      <c r="H29" s="2">
        <f t="shared" si="3"/>
        <v>104.654886312782</v>
      </c>
      <c r="I29" s="2">
        <f t="shared" si="4"/>
        <v>411.07137059792694</v>
      </c>
    </row>
    <row r="30" spans="1:12" x14ac:dyDescent="0.2">
      <c r="A30">
        <f t="shared" si="7"/>
        <v>28</v>
      </c>
      <c r="B30" t="s">
        <v>84</v>
      </c>
      <c r="C30">
        <v>19</v>
      </c>
      <c r="D30">
        <v>66</v>
      </c>
      <c r="E30">
        <v>17</v>
      </c>
      <c r="F30" s="2">
        <f t="shared" si="1"/>
        <v>178.785914224572</v>
      </c>
      <c r="G30" s="2">
        <f t="shared" si="2"/>
        <v>127.63057006057301</v>
      </c>
      <c r="H30" s="2">
        <f t="shared" si="3"/>
        <v>104.654886312782</v>
      </c>
      <c r="I30" s="2">
        <f t="shared" si="4"/>
        <v>411.07137059792694</v>
      </c>
    </row>
    <row r="31" spans="1:12" x14ac:dyDescent="0.2">
      <c r="A31">
        <f t="shared" si="7"/>
        <v>29</v>
      </c>
      <c r="B31" t="s">
        <v>85</v>
      </c>
      <c r="C31">
        <v>19</v>
      </c>
      <c r="D31">
        <v>66</v>
      </c>
      <c r="E31">
        <v>17</v>
      </c>
      <c r="F31" s="2">
        <f t="shared" si="1"/>
        <v>178.785914224572</v>
      </c>
      <c r="G31" s="2">
        <f t="shared" si="2"/>
        <v>127.63057006057301</v>
      </c>
      <c r="H31" s="2">
        <f t="shared" si="3"/>
        <v>104.654886312782</v>
      </c>
      <c r="I31" s="2">
        <f t="shared" si="4"/>
        <v>411.07137059792694</v>
      </c>
    </row>
    <row r="32" spans="1:12" x14ac:dyDescent="0.2">
      <c r="A32">
        <f t="shared" si="7"/>
        <v>30</v>
      </c>
      <c r="B32" t="s">
        <v>85</v>
      </c>
      <c r="C32">
        <v>19</v>
      </c>
      <c r="D32">
        <v>66</v>
      </c>
      <c r="E32">
        <v>17</v>
      </c>
      <c r="F32" s="2">
        <f t="shared" si="1"/>
        <v>178.785914224572</v>
      </c>
      <c r="G32" s="2">
        <f t="shared" si="2"/>
        <v>127.63057006057301</v>
      </c>
      <c r="H32" s="2">
        <f t="shared" si="3"/>
        <v>104.654886312782</v>
      </c>
      <c r="I32" s="2">
        <f t="shared" si="4"/>
        <v>411.07137059792694</v>
      </c>
    </row>
    <row r="33" spans="1:9" x14ac:dyDescent="0.2">
      <c r="A33">
        <f t="shared" si="7"/>
        <v>31</v>
      </c>
      <c r="B33" t="s">
        <v>86</v>
      </c>
      <c r="C33">
        <v>19</v>
      </c>
      <c r="D33">
        <v>66</v>
      </c>
      <c r="E33">
        <v>17</v>
      </c>
      <c r="F33" s="2">
        <f t="shared" si="1"/>
        <v>178.785914224572</v>
      </c>
      <c r="G33" s="2">
        <f t="shared" si="2"/>
        <v>127.63057006057301</v>
      </c>
      <c r="H33" s="2">
        <f t="shared" si="3"/>
        <v>104.654886312782</v>
      </c>
      <c r="I33" s="2">
        <f t="shared" si="4"/>
        <v>411.07137059792694</v>
      </c>
    </row>
    <row r="34" spans="1:9" x14ac:dyDescent="0.2">
      <c r="A34">
        <f t="shared" si="7"/>
        <v>32</v>
      </c>
      <c r="B34" t="s">
        <v>86</v>
      </c>
      <c r="C34">
        <v>19</v>
      </c>
      <c r="D34">
        <v>66</v>
      </c>
      <c r="E34">
        <v>17</v>
      </c>
      <c r="F34" s="2">
        <f t="shared" si="1"/>
        <v>178.785914224572</v>
      </c>
      <c r="G34" s="2">
        <f t="shared" si="2"/>
        <v>127.63057006057301</v>
      </c>
      <c r="H34" s="2">
        <f t="shared" si="3"/>
        <v>104.654886312782</v>
      </c>
      <c r="I34" s="2">
        <f t="shared" si="4"/>
        <v>411.07137059792694</v>
      </c>
    </row>
    <row r="35" spans="1:9" x14ac:dyDescent="0.2">
      <c r="A35">
        <f t="shared" si="7"/>
        <v>33</v>
      </c>
      <c r="B35" t="s">
        <v>87</v>
      </c>
      <c r="C35">
        <v>19</v>
      </c>
      <c r="D35">
        <v>66</v>
      </c>
      <c r="E35">
        <v>17</v>
      </c>
      <c r="F35" s="2">
        <f t="shared" si="1"/>
        <v>178.785914224572</v>
      </c>
      <c r="G35" s="2">
        <f t="shared" si="2"/>
        <v>127.63057006057301</v>
      </c>
      <c r="H35" s="2">
        <f t="shared" si="3"/>
        <v>104.654886312782</v>
      </c>
      <c r="I35" s="2">
        <f t="shared" si="4"/>
        <v>411.07137059792694</v>
      </c>
    </row>
    <row r="36" spans="1:9" x14ac:dyDescent="0.2">
      <c r="A36">
        <f t="shared" si="7"/>
        <v>34</v>
      </c>
      <c r="B36" t="s">
        <v>87</v>
      </c>
      <c r="C36">
        <v>54</v>
      </c>
      <c r="D36">
        <v>66</v>
      </c>
      <c r="E36">
        <v>17</v>
      </c>
      <c r="F36" s="2">
        <f t="shared" si="1"/>
        <v>95.714566083624902</v>
      </c>
      <c r="G36" s="2">
        <f t="shared" si="2"/>
        <v>127.63057006057301</v>
      </c>
      <c r="H36" s="2">
        <f t="shared" si="3"/>
        <v>104.654886312782</v>
      </c>
      <c r="I36" s="2">
        <f t="shared" si="4"/>
        <v>328.00002245697988</v>
      </c>
    </row>
    <row r="37" spans="1:9" x14ac:dyDescent="0.2">
      <c r="A37">
        <f t="shared" si="7"/>
        <v>35</v>
      </c>
      <c r="B37" t="s">
        <v>88</v>
      </c>
      <c r="C37">
        <v>54</v>
      </c>
      <c r="D37">
        <v>31</v>
      </c>
      <c r="E37">
        <v>17</v>
      </c>
      <c r="F37" s="2">
        <f t="shared" si="1"/>
        <v>95.714566083624902</v>
      </c>
      <c r="G37" s="2">
        <f t="shared" si="2"/>
        <v>81.052349503152001</v>
      </c>
      <c r="H37" s="2">
        <f t="shared" si="3"/>
        <v>104.654886312782</v>
      </c>
      <c r="I37" s="2">
        <f t="shared" si="4"/>
        <v>281.42180189955889</v>
      </c>
    </row>
    <row r="38" spans="1:9" x14ac:dyDescent="0.2">
      <c r="A38">
        <f t="shared" si="7"/>
        <v>36</v>
      </c>
      <c r="B38" t="s">
        <v>88</v>
      </c>
      <c r="C38">
        <v>54</v>
      </c>
      <c r="D38">
        <v>31</v>
      </c>
      <c r="E38">
        <v>17</v>
      </c>
      <c r="F38" s="2">
        <f t="shared" si="1"/>
        <v>95.714566083624902</v>
      </c>
      <c r="G38" s="2">
        <f t="shared" si="2"/>
        <v>81.052349503152001</v>
      </c>
      <c r="H38" s="2">
        <f t="shared" si="3"/>
        <v>104.654886312782</v>
      </c>
      <c r="I38" s="2">
        <f t="shared" si="4"/>
        <v>281.42180189955889</v>
      </c>
    </row>
    <row r="39" spans="1:9" x14ac:dyDescent="0.2">
      <c r="A39">
        <f t="shared" si="7"/>
        <v>37</v>
      </c>
      <c r="B39" t="s">
        <v>89</v>
      </c>
      <c r="C39">
        <v>54</v>
      </c>
      <c r="D39">
        <v>31</v>
      </c>
      <c r="E39">
        <v>17</v>
      </c>
      <c r="F39" s="2">
        <f t="shared" si="1"/>
        <v>95.714566083624902</v>
      </c>
      <c r="G39" s="2">
        <f t="shared" si="2"/>
        <v>81.052349503152001</v>
      </c>
      <c r="H39" s="2">
        <f t="shared" si="3"/>
        <v>104.654886312782</v>
      </c>
      <c r="I39" s="2">
        <f t="shared" si="4"/>
        <v>281.42180189955889</v>
      </c>
    </row>
    <row r="40" spans="1:9" x14ac:dyDescent="0.2">
      <c r="A40">
        <f t="shared" si="7"/>
        <v>38</v>
      </c>
      <c r="B40" t="s">
        <v>89</v>
      </c>
      <c r="C40">
        <v>54</v>
      </c>
      <c r="D40">
        <v>31</v>
      </c>
      <c r="E40">
        <v>17</v>
      </c>
      <c r="F40" s="2">
        <f t="shared" si="1"/>
        <v>95.714566083624902</v>
      </c>
      <c r="G40" s="2">
        <f t="shared" si="2"/>
        <v>81.052349503152001</v>
      </c>
      <c r="H40" s="2">
        <f t="shared" si="3"/>
        <v>104.654886312782</v>
      </c>
      <c r="I40" s="2">
        <f t="shared" si="4"/>
        <v>281.42180189955889</v>
      </c>
    </row>
    <row r="41" spans="1:9" x14ac:dyDescent="0.2">
      <c r="A41">
        <f t="shared" si="7"/>
        <v>39</v>
      </c>
      <c r="B41" t="s">
        <v>90</v>
      </c>
      <c r="C41">
        <v>54</v>
      </c>
      <c r="D41">
        <v>31</v>
      </c>
      <c r="E41">
        <v>17</v>
      </c>
      <c r="F41" s="2">
        <f t="shared" si="1"/>
        <v>95.714566083624902</v>
      </c>
      <c r="G41" s="2">
        <f t="shared" si="2"/>
        <v>81.052349503152001</v>
      </c>
      <c r="H41" s="2">
        <f t="shared" si="3"/>
        <v>104.654886312782</v>
      </c>
      <c r="I41" s="2">
        <f t="shared" si="4"/>
        <v>281.42180189955889</v>
      </c>
    </row>
    <row r="42" spans="1:9" x14ac:dyDescent="0.2">
      <c r="A42">
        <f t="shared" si="7"/>
        <v>40</v>
      </c>
      <c r="B42" t="s">
        <v>90</v>
      </c>
      <c r="C42">
        <v>54</v>
      </c>
      <c r="D42">
        <v>31</v>
      </c>
      <c r="E42">
        <v>17</v>
      </c>
      <c r="F42" s="2">
        <f t="shared" si="1"/>
        <v>95.714566083624902</v>
      </c>
      <c r="G42" s="2">
        <f t="shared" si="2"/>
        <v>81.052349503152001</v>
      </c>
      <c r="H42" s="2">
        <f t="shared" si="3"/>
        <v>104.654886312782</v>
      </c>
      <c r="I42" s="2">
        <f t="shared" si="4"/>
        <v>281.42180189955889</v>
      </c>
    </row>
    <row r="43" spans="1:9" x14ac:dyDescent="0.2">
      <c r="A43">
        <f t="shared" si="7"/>
        <v>41</v>
      </c>
      <c r="B43" t="s">
        <v>91</v>
      </c>
      <c r="C43">
        <v>54</v>
      </c>
      <c r="D43">
        <v>31</v>
      </c>
      <c r="E43">
        <v>17</v>
      </c>
      <c r="F43" s="2">
        <f t="shared" si="1"/>
        <v>95.714566083624902</v>
      </c>
      <c r="G43" s="2">
        <f t="shared" si="2"/>
        <v>81.052349503152001</v>
      </c>
      <c r="H43" s="2">
        <f t="shared" si="3"/>
        <v>104.654886312782</v>
      </c>
      <c r="I43" s="2">
        <f t="shared" si="4"/>
        <v>281.42180189955889</v>
      </c>
    </row>
    <row r="44" spans="1:9" x14ac:dyDescent="0.2">
      <c r="A44">
        <f t="shared" si="7"/>
        <v>42</v>
      </c>
      <c r="B44" t="s">
        <v>91</v>
      </c>
      <c r="C44">
        <v>54</v>
      </c>
      <c r="D44">
        <v>31</v>
      </c>
      <c r="E44">
        <v>17</v>
      </c>
      <c r="F44" s="2">
        <f t="shared" si="1"/>
        <v>95.714566083624902</v>
      </c>
      <c r="G44" s="2">
        <f t="shared" si="2"/>
        <v>81.052349503152001</v>
      </c>
      <c r="H44" s="2">
        <f t="shared" si="3"/>
        <v>104.654886312782</v>
      </c>
      <c r="I44" s="2">
        <f t="shared" si="4"/>
        <v>281.42180189955889</v>
      </c>
    </row>
    <row r="45" spans="1:9" x14ac:dyDescent="0.2">
      <c r="A45">
        <f t="shared" si="7"/>
        <v>43</v>
      </c>
      <c r="B45" t="s">
        <v>92</v>
      </c>
      <c r="C45">
        <v>54</v>
      </c>
      <c r="D45">
        <v>31</v>
      </c>
      <c r="E45">
        <v>17</v>
      </c>
      <c r="F45" s="2">
        <f t="shared" si="1"/>
        <v>95.714566083624902</v>
      </c>
      <c r="G45" s="2">
        <f t="shared" si="2"/>
        <v>81.052349503152001</v>
      </c>
      <c r="H45" s="2">
        <f t="shared" si="3"/>
        <v>104.654886312782</v>
      </c>
      <c r="I45" s="2">
        <f t="shared" si="4"/>
        <v>281.42180189955889</v>
      </c>
    </row>
    <row r="46" spans="1:9" x14ac:dyDescent="0.2">
      <c r="A46">
        <f t="shared" si="7"/>
        <v>44</v>
      </c>
      <c r="B46" t="s">
        <v>92</v>
      </c>
      <c r="C46">
        <v>54</v>
      </c>
      <c r="D46">
        <v>31</v>
      </c>
      <c r="E46">
        <v>17</v>
      </c>
      <c r="F46" s="2">
        <f t="shared" si="1"/>
        <v>95.714566083624902</v>
      </c>
      <c r="G46" s="2">
        <f t="shared" si="2"/>
        <v>81.052349503152001</v>
      </c>
      <c r="H46" s="2">
        <f t="shared" si="3"/>
        <v>104.654886312782</v>
      </c>
      <c r="I46" s="2">
        <f t="shared" si="4"/>
        <v>281.42180189955889</v>
      </c>
    </row>
    <row r="47" spans="1:9" x14ac:dyDescent="0.2">
      <c r="A47">
        <f t="shared" si="7"/>
        <v>45</v>
      </c>
      <c r="B47" t="s">
        <v>93</v>
      </c>
      <c r="C47">
        <v>54</v>
      </c>
      <c r="D47">
        <v>31</v>
      </c>
      <c r="E47">
        <v>17</v>
      </c>
      <c r="F47" s="2">
        <f t="shared" si="1"/>
        <v>95.714566083624902</v>
      </c>
      <c r="G47" s="2">
        <f t="shared" si="2"/>
        <v>81.052349503152001</v>
      </c>
      <c r="H47" s="2">
        <f t="shared" si="3"/>
        <v>104.654886312782</v>
      </c>
      <c r="I47" s="2">
        <f t="shared" si="4"/>
        <v>281.42180189955889</v>
      </c>
    </row>
    <row r="48" spans="1:9" x14ac:dyDescent="0.2">
      <c r="A48">
        <f t="shared" si="7"/>
        <v>46</v>
      </c>
      <c r="B48" t="s">
        <v>93</v>
      </c>
      <c r="C48">
        <v>54</v>
      </c>
      <c r="D48">
        <v>31</v>
      </c>
      <c r="E48">
        <v>17</v>
      </c>
      <c r="F48" s="2">
        <f t="shared" si="1"/>
        <v>95.714566083624902</v>
      </c>
      <c r="G48" s="2">
        <f t="shared" si="2"/>
        <v>81.052349503152001</v>
      </c>
      <c r="H48" s="2">
        <f t="shared" si="3"/>
        <v>104.654886312782</v>
      </c>
      <c r="I48" s="2">
        <f t="shared" si="4"/>
        <v>281.42180189955889</v>
      </c>
    </row>
    <row r="49" spans="1:9" x14ac:dyDescent="0.2">
      <c r="A49">
        <f t="shared" si="7"/>
        <v>47</v>
      </c>
      <c r="B49" t="s">
        <v>94</v>
      </c>
      <c r="C49">
        <v>54</v>
      </c>
      <c r="D49">
        <v>31</v>
      </c>
      <c r="E49">
        <v>17</v>
      </c>
      <c r="F49" s="2">
        <f t="shared" si="1"/>
        <v>95.714566083624902</v>
      </c>
      <c r="G49" s="2">
        <f t="shared" si="2"/>
        <v>81.052349503152001</v>
      </c>
      <c r="H49" s="2">
        <f t="shared" si="3"/>
        <v>104.654886312782</v>
      </c>
      <c r="I49" s="2">
        <f t="shared" si="4"/>
        <v>281.42180189955889</v>
      </c>
    </row>
    <row r="50" spans="1:9" x14ac:dyDescent="0.2">
      <c r="A50">
        <f t="shared" si="7"/>
        <v>48</v>
      </c>
      <c r="B50" t="s">
        <v>94</v>
      </c>
      <c r="C50">
        <v>67</v>
      </c>
      <c r="D50">
        <v>31</v>
      </c>
      <c r="E50">
        <v>17</v>
      </c>
      <c r="F50" s="2">
        <f t="shared" si="1"/>
        <v>68.702517107594701</v>
      </c>
      <c r="G50" s="2">
        <f t="shared" si="2"/>
        <v>81.052349503152001</v>
      </c>
      <c r="H50" s="2">
        <f t="shared" si="3"/>
        <v>104.654886312782</v>
      </c>
      <c r="I50" s="2">
        <f t="shared" si="4"/>
        <v>254.40975292352871</v>
      </c>
    </row>
    <row r="51" spans="1:9" x14ac:dyDescent="0.2">
      <c r="A51">
        <f t="shared" si="7"/>
        <v>49</v>
      </c>
      <c r="B51" t="s">
        <v>83</v>
      </c>
      <c r="C51">
        <v>67</v>
      </c>
      <c r="D51">
        <v>31</v>
      </c>
      <c r="E51">
        <v>17</v>
      </c>
      <c r="F51" s="2">
        <f t="shared" si="1"/>
        <v>68.702517107594701</v>
      </c>
      <c r="G51" s="2">
        <f t="shared" si="2"/>
        <v>81.052349503152001</v>
      </c>
      <c r="H51" s="2">
        <f t="shared" si="3"/>
        <v>104.654886312782</v>
      </c>
      <c r="I51" s="2">
        <f t="shared" si="4"/>
        <v>254.40975292352871</v>
      </c>
    </row>
    <row r="52" spans="1:9" x14ac:dyDescent="0.2">
      <c r="A52">
        <f t="shared" si="7"/>
        <v>50</v>
      </c>
      <c r="B52" t="s">
        <v>83</v>
      </c>
      <c r="C52">
        <v>67</v>
      </c>
      <c r="D52">
        <v>31</v>
      </c>
      <c r="E52">
        <v>17</v>
      </c>
      <c r="F52" s="2">
        <f t="shared" si="1"/>
        <v>68.702517107594701</v>
      </c>
      <c r="G52" s="2">
        <f t="shared" si="2"/>
        <v>81.052349503152001</v>
      </c>
      <c r="H52" s="2">
        <f t="shared" si="3"/>
        <v>104.654886312782</v>
      </c>
      <c r="I52" s="2">
        <f t="shared" si="4"/>
        <v>254.40975292352871</v>
      </c>
    </row>
    <row r="53" spans="1:9" x14ac:dyDescent="0.2">
      <c r="A53">
        <f t="shared" si="7"/>
        <v>51</v>
      </c>
      <c r="B53" t="s">
        <v>84</v>
      </c>
      <c r="C53">
        <v>67</v>
      </c>
      <c r="D53">
        <v>31</v>
      </c>
      <c r="E53">
        <v>17</v>
      </c>
      <c r="F53" s="2">
        <f t="shared" si="1"/>
        <v>68.702517107594701</v>
      </c>
      <c r="G53" s="2">
        <f t="shared" si="2"/>
        <v>81.052349503152001</v>
      </c>
      <c r="H53" s="2">
        <f t="shared" si="3"/>
        <v>104.654886312782</v>
      </c>
      <c r="I53" s="2">
        <f t="shared" si="4"/>
        <v>254.40975292352871</v>
      </c>
    </row>
    <row r="54" spans="1:9" x14ac:dyDescent="0.2">
      <c r="A54">
        <f t="shared" si="7"/>
        <v>52</v>
      </c>
      <c r="B54" t="s">
        <v>84</v>
      </c>
      <c r="C54">
        <v>67</v>
      </c>
      <c r="D54">
        <v>31</v>
      </c>
      <c r="E54">
        <v>17</v>
      </c>
      <c r="F54" s="2">
        <f t="shared" si="1"/>
        <v>68.702517107594701</v>
      </c>
      <c r="G54" s="2">
        <f t="shared" si="2"/>
        <v>81.052349503152001</v>
      </c>
      <c r="H54" s="2">
        <f t="shared" si="3"/>
        <v>104.654886312782</v>
      </c>
      <c r="I54" s="2">
        <f t="shared" si="4"/>
        <v>254.40975292352871</v>
      </c>
    </row>
    <row r="55" spans="1:9" x14ac:dyDescent="0.2">
      <c r="A55">
        <f t="shared" si="7"/>
        <v>53</v>
      </c>
      <c r="B55" t="s">
        <v>85</v>
      </c>
      <c r="C55">
        <v>67</v>
      </c>
      <c r="D55">
        <v>31</v>
      </c>
      <c r="E55">
        <v>17</v>
      </c>
      <c r="F55" s="2">
        <f t="shared" si="1"/>
        <v>68.702517107594701</v>
      </c>
      <c r="G55" s="2">
        <f t="shared" si="2"/>
        <v>81.052349503152001</v>
      </c>
      <c r="H55" s="2">
        <f t="shared" si="3"/>
        <v>104.654886312782</v>
      </c>
      <c r="I55" s="2">
        <f t="shared" si="4"/>
        <v>254.40975292352871</v>
      </c>
    </row>
    <row r="56" spans="1:9" x14ac:dyDescent="0.2">
      <c r="A56">
        <f t="shared" si="7"/>
        <v>54</v>
      </c>
      <c r="B56" t="s">
        <v>85</v>
      </c>
      <c r="C56">
        <v>67</v>
      </c>
      <c r="D56">
        <v>31</v>
      </c>
      <c r="E56">
        <v>17</v>
      </c>
      <c r="F56" s="2">
        <f t="shared" si="1"/>
        <v>68.702517107594701</v>
      </c>
      <c r="G56" s="2">
        <f t="shared" si="2"/>
        <v>81.052349503152001</v>
      </c>
      <c r="H56" s="2">
        <f t="shared" si="3"/>
        <v>104.654886312782</v>
      </c>
      <c r="I56" s="2">
        <f t="shared" si="4"/>
        <v>254.40975292352871</v>
      </c>
    </row>
    <row r="57" spans="1:9" x14ac:dyDescent="0.2">
      <c r="A57">
        <f t="shared" si="7"/>
        <v>55</v>
      </c>
      <c r="B57" t="s">
        <v>86</v>
      </c>
      <c r="C57">
        <v>67</v>
      </c>
      <c r="D57">
        <v>31</v>
      </c>
      <c r="E57">
        <v>17</v>
      </c>
      <c r="F57" s="2">
        <f t="shared" si="1"/>
        <v>68.702517107594701</v>
      </c>
      <c r="G57" s="2">
        <f t="shared" si="2"/>
        <v>81.052349503152001</v>
      </c>
      <c r="H57" s="2">
        <f t="shared" si="3"/>
        <v>104.654886312782</v>
      </c>
      <c r="I57" s="2">
        <f t="shared" si="4"/>
        <v>254.40975292352871</v>
      </c>
    </row>
    <row r="58" spans="1:9" x14ac:dyDescent="0.2">
      <c r="A58">
        <f t="shared" si="7"/>
        <v>56</v>
      </c>
      <c r="B58" t="s">
        <v>86</v>
      </c>
      <c r="C58">
        <v>67</v>
      </c>
      <c r="D58">
        <v>31</v>
      </c>
      <c r="E58">
        <v>39</v>
      </c>
      <c r="F58" s="2">
        <f t="shared" si="1"/>
        <v>68.702517107594701</v>
      </c>
      <c r="G58" s="2">
        <f t="shared" si="2"/>
        <v>81.052349503152001</v>
      </c>
      <c r="H58" s="2">
        <f t="shared" si="3"/>
        <v>46.191543883178298</v>
      </c>
      <c r="I58" s="2">
        <f t="shared" si="4"/>
        <v>195.94641049392501</v>
      </c>
    </row>
    <row r="59" spans="1:9" x14ac:dyDescent="0.2">
      <c r="A59">
        <f t="shared" si="7"/>
        <v>57</v>
      </c>
      <c r="B59" t="s">
        <v>87</v>
      </c>
      <c r="C59">
        <v>67</v>
      </c>
      <c r="D59">
        <v>31</v>
      </c>
      <c r="E59">
        <v>39</v>
      </c>
      <c r="F59" s="2">
        <f t="shared" si="1"/>
        <v>68.702517107594701</v>
      </c>
      <c r="G59" s="2">
        <f t="shared" si="2"/>
        <v>81.052349503152001</v>
      </c>
      <c r="H59" s="2">
        <f t="shared" si="3"/>
        <v>46.191543883178298</v>
      </c>
      <c r="I59" s="2">
        <f t="shared" si="4"/>
        <v>195.94641049392501</v>
      </c>
    </row>
    <row r="60" spans="1:9" x14ac:dyDescent="0.2">
      <c r="A60">
        <f t="shared" si="7"/>
        <v>58</v>
      </c>
      <c r="B60" t="s">
        <v>87</v>
      </c>
      <c r="C60">
        <v>67</v>
      </c>
      <c r="D60">
        <v>31</v>
      </c>
      <c r="E60">
        <v>39</v>
      </c>
      <c r="F60" s="2">
        <f t="shared" si="1"/>
        <v>68.702517107594701</v>
      </c>
      <c r="G60" s="2">
        <f t="shared" si="2"/>
        <v>81.052349503152001</v>
      </c>
      <c r="H60" s="2">
        <f t="shared" si="3"/>
        <v>46.191543883178298</v>
      </c>
      <c r="I60" s="2">
        <f t="shared" si="4"/>
        <v>195.94641049392501</v>
      </c>
    </row>
    <row r="61" spans="1:9" x14ac:dyDescent="0.2">
      <c r="A61">
        <f t="shared" si="7"/>
        <v>59</v>
      </c>
      <c r="B61" t="s">
        <v>88</v>
      </c>
      <c r="C61">
        <v>67</v>
      </c>
      <c r="D61">
        <v>31</v>
      </c>
      <c r="E61">
        <v>39</v>
      </c>
      <c r="F61" s="2">
        <f t="shared" si="1"/>
        <v>68.702517107594701</v>
      </c>
      <c r="G61" s="2">
        <f t="shared" si="2"/>
        <v>81.052349503152001</v>
      </c>
      <c r="H61" s="2">
        <f t="shared" si="3"/>
        <v>46.191543883178298</v>
      </c>
      <c r="I61" s="2">
        <f t="shared" si="4"/>
        <v>195.94641049392501</v>
      </c>
    </row>
    <row r="62" spans="1:9" x14ac:dyDescent="0.2">
      <c r="A62">
        <f t="shared" si="7"/>
        <v>60</v>
      </c>
      <c r="B62" t="s">
        <v>88</v>
      </c>
      <c r="C62">
        <v>67</v>
      </c>
      <c r="D62">
        <v>31</v>
      </c>
      <c r="E62">
        <v>39</v>
      </c>
      <c r="F62" s="2">
        <f t="shared" si="1"/>
        <v>68.702517107594701</v>
      </c>
      <c r="G62" s="2">
        <f t="shared" si="2"/>
        <v>81.052349503152001</v>
      </c>
      <c r="H62" s="2">
        <f t="shared" si="3"/>
        <v>46.191543883178298</v>
      </c>
      <c r="I62" s="2">
        <f t="shared" si="4"/>
        <v>195.94641049392501</v>
      </c>
    </row>
    <row r="63" spans="1:9" x14ac:dyDescent="0.2">
      <c r="A63">
        <f t="shared" si="7"/>
        <v>61</v>
      </c>
      <c r="B63" t="s">
        <v>89</v>
      </c>
      <c r="C63">
        <v>39</v>
      </c>
      <c r="D63">
        <v>31</v>
      </c>
      <c r="E63">
        <v>39</v>
      </c>
      <c r="F63" s="2">
        <f t="shared" si="1"/>
        <v>46.191543883178298</v>
      </c>
      <c r="G63" s="2">
        <f t="shared" si="2"/>
        <v>81.052349503152001</v>
      </c>
      <c r="H63" s="2">
        <f t="shared" si="3"/>
        <v>46.191543883178298</v>
      </c>
      <c r="I63" s="2">
        <f t="shared" si="4"/>
        <v>173.43543726950861</v>
      </c>
    </row>
    <row r="64" spans="1:9" x14ac:dyDescent="0.2">
      <c r="A64">
        <f t="shared" si="7"/>
        <v>62</v>
      </c>
      <c r="B64" t="s">
        <v>89</v>
      </c>
      <c r="C64">
        <v>39</v>
      </c>
      <c r="D64">
        <v>31</v>
      </c>
      <c r="E64">
        <v>39</v>
      </c>
      <c r="F64" s="2">
        <f t="shared" si="1"/>
        <v>46.191543883178298</v>
      </c>
      <c r="G64" s="2">
        <f t="shared" si="2"/>
        <v>81.052349503152001</v>
      </c>
      <c r="H64" s="2">
        <f t="shared" si="3"/>
        <v>46.191543883178298</v>
      </c>
      <c r="I64" s="2">
        <f t="shared" si="4"/>
        <v>173.43543726950861</v>
      </c>
    </row>
    <row r="65" spans="1:9" x14ac:dyDescent="0.2">
      <c r="A65">
        <f t="shared" si="7"/>
        <v>63</v>
      </c>
      <c r="B65" t="s">
        <v>90</v>
      </c>
      <c r="C65">
        <v>39</v>
      </c>
      <c r="D65">
        <v>31</v>
      </c>
      <c r="E65">
        <v>39</v>
      </c>
      <c r="F65" s="2">
        <f t="shared" si="1"/>
        <v>46.191543883178298</v>
      </c>
      <c r="G65" s="2">
        <f t="shared" si="2"/>
        <v>81.052349503152001</v>
      </c>
      <c r="H65" s="2">
        <f t="shared" si="3"/>
        <v>46.191543883178298</v>
      </c>
      <c r="I65" s="2">
        <f t="shared" si="4"/>
        <v>173.43543726950861</v>
      </c>
    </row>
    <row r="66" spans="1:9" x14ac:dyDescent="0.2">
      <c r="A66">
        <f t="shared" si="7"/>
        <v>64</v>
      </c>
      <c r="B66" t="s">
        <v>90</v>
      </c>
      <c r="C66">
        <v>39</v>
      </c>
      <c r="D66">
        <v>31</v>
      </c>
      <c r="E66">
        <v>39</v>
      </c>
      <c r="F66" s="2">
        <f t="shared" si="1"/>
        <v>46.191543883178298</v>
      </c>
      <c r="G66" s="2">
        <f t="shared" si="2"/>
        <v>81.052349503152001</v>
      </c>
      <c r="H66" s="2">
        <f t="shared" si="3"/>
        <v>46.191543883178298</v>
      </c>
      <c r="I66" s="2">
        <f t="shared" si="4"/>
        <v>173.43543726950861</v>
      </c>
    </row>
    <row r="67" spans="1:9" x14ac:dyDescent="0.2">
      <c r="A67">
        <f t="shared" si="7"/>
        <v>65</v>
      </c>
      <c r="B67" t="s">
        <v>91</v>
      </c>
      <c r="C67">
        <v>39</v>
      </c>
      <c r="D67">
        <v>31</v>
      </c>
      <c r="E67">
        <v>39</v>
      </c>
      <c r="F67" s="2">
        <f t="shared" si="1"/>
        <v>46.191543883178298</v>
      </c>
      <c r="G67" s="2">
        <f t="shared" si="2"/>
        <v>81.052349503152001</v>
      </c>
      <c r="H67" s="2">
        <f t="shared" si="3"/>
        <v>46.191543883178298</v>
      </c>
      <c r="I67" s="2">
        <f t="shared" si="4"/>
        <v>173.43543726950861</v>
      </c>
    </row>
    <row r="68" spans="1:9" x14ac:dyDescent="0.2">
      <c r="A68">
        <f t="shared" si="7"/>
        <v>66</v>
      </c>
      <c r="B68" t="s">
        <v>91</v>
      </c>
      <c r="C68">
        <v>39</v>
      </c>
      <c r="D68">
        <v>28</v>
      </c>
      <c r="F68" s="2">
        <f t="shared" ref="F68:F122" si="8">VLOOKUP(C68,$S$3:$T$13,2,FALSE)</f>
        <v>46.191543883178298</v>
      </c>
      <c r="G68" s="2">
        <f t="shared" ref="G68:G122" si="9">VLOOKUP(D68,$S$3:$T$13,2,FALSE)</f>
        <v>32.008549973834299</v>
      </c>
      <c r="H68" s="2">
        <v>0</v>
      </c>
      <c r="I68" s="2">
        <f t="shared" ref="I68:I122" si="10">F68+G68+H68</f>
        <v>78.200093857012604</v>
      </c>
    </row>
    <row r="69" spans="1:9" x14ac:dyDescent="0.2">
      <c r="A69">
        <f t="shared" ref="A69:A129" si="11">A68+1</f>
        <v>67</v>
      </c>
      <c r="B69" t="s">
        <v>92</v>
      </c>
      <c r="C69">
        <v>39</v>
      </c>
      <c r="D69">
        <v>28</v>
      </c>
      <c r="F69" s="2">
        <f t="shared" si="8"/>
        <v>46.191543883178298</v>
      </c>
      <c r="G69" s="2">
        <f t="shared" si="9"/>
        <v>32.008549973834299</v>
      </c>
      <c r="H69" s="2">
        <v>0</v>
      </c>
      <c r="I69" s="2">
        <f t="shared" si="10"/>
        <v>78.200093857012604</v>
      </c>
    </row>
    <row r="70" spans="1:9" x14ac:dyDescent="0.2">
      <c r="A70">
        <f t="shared" si="11"/>
        <v>68</v>
      </c>
      <c r="B70" t="s">
        <v>92</v>
      </c>
      <c r="C70">
        <v>39</v>
      </c>
      <c r="D70">
        <v>28</v>
      </c>
      <c r="F70" s="2">
        <f t="shared" si="8"/>
        <v>46.191543883178298</v>
      </c>
      <c r="G70" s="2">
        <f t="shared" si="9"/>
        <v>32.008549973834299</v>
      </c>
      <c r="H70" s="2">
        <v>0</v>
      </c>
      <c r="I70" s="2">
        <f t="shared" si="10"/>
        <v>78.200093857012604</v>
      </c>
    </row>
    <row r="71" spans="1:9" x14ac:dyDescent="0.2">
      <c r="A71">
        <f t="shared" si="11"/>
        <v>69</v>
      </c>
      <c r="B71" t="s">
        <v>93</v>
      </c>
      <c r="C71">
        <v>39</v>
      </c>
      <c r="D71">
        <v>28</v>
      </c>
      <c r="F71" s="2">
        <f t="shared" si="8"/>
        <v>46.191543883178298</v>
      </c>
      <c r="G71" s="2">
        <f t="shared" si="9"/>
        <v>32.008549973834299</v>
      </c>
      <c r="H71" s="2">
        <v>0</v>
      </c>
      <c r="I71" s="2">
        <f t="shared" si="10"/>
        <v>78.200093857012604</v>
      </c>
    </row>
    <row r="72" spans="1:9" x14ac:dyDescent="0.2">
      <c r="A72">
        <f t="shared" si="11"/>
        <v>70</v>
      </c>
      <c r="B72" t="s">
        <v>93</v>
      </c>
      <c r="C72">
        <v>39</v>
      </c>
      <c r="D72">
        <v>28</v>
      </c>
      <c r="F72" s="2">
        <f t="shared" si="8"/>
        <v>46.191543883178298</v>
      </c>
      <c r="G72" s="2">
        <f t="shared" si="9"/>
        <v>32.008549973834299</v>
      </c>
      <c r="H72" s="2">
        <v>0</v>
      </c>
      <c r="I72" s="2">
        <f t="shared" si="10"/>
        <v>78.200093857012604</v>
      </c>
    </row>
    <row r="73" spans="1:9" x14ac:dyDescent="0.2">
      <c r="A73">
        <f t="shared" si="11"/>
        <v>71</v>
      </c>
      <c r="B73" t="s">
        <v>94</v>
      </c>
      <c r="C73">
        <v>39</v>
      </c>
      <c r="D73">
        <v>28</v>
      </c>
      <c r="F73" s="2">
        <f t="shared" si="8"/>
        <v>46.191543883178298</v>
      </c>
      <c r="G73" s="2">
        <f t="shared" si="9"/>
        <v>32.008549973834299</v>
      </c>
      <c r="H73" s="2">
        <v>0</v>
      </c>
      <c r="I73" s="2">
        <f t="shared" si="10"/>
        <v>78.200093857012604</v>
      </c>
    </row>
    <row r="74" spans="1:9" x14ac:dyDescent="0.2">
      <c r="A74">
        <f t="shared" si="11"/>
        <v>72</v>
      </c>
      <c r="B74" t="s">
        <v>94</v>
      </c>
      <c r="C74">
        <v>39</v>
      </c>
      <c r="D74">
        <v>28</v>
      </c>
      <c r="F74" s="2">
        <f t="shared" si="8"/>
        <v>46.191543883178298</v>
      </c>
      <c r="G74" s="2">
        <f t="shared" si="9"/>
        <v>32.008549973834299</v>
      </c>
      <c r="H74" s="2">
        <v>0</v>
      </c>
      <c r="I74" s="2">
        <f t="shared" si="10"/>
        <v>78.200093857012604</v>
      </c>
    </row>
    <row r="75" spans="1:9" x14ac:dyDescent="0.2">
      <c r="A75">
        <f t="shared" si="11"/>
        <v>73</v>
      </c>
      <c r="B75" t="s">
        <v>83</v>
      </c>
      <c r="C75">
        <v>39</v>
      </c>
      <c r="D75">
        <v>28</v>
      </c>
      <c r="F75" s="2">
        <f t="shared" si="8"/>
        <v>46.191543883178298</v>
      </c>
      <c r="G75" s="2">
        <f t="shared" si="9"/>
        <v>32.008549973834299</v>
      </c>
      <c r="H75" s="2">
        <v>0</v>
      </c>
      <c r="I75" s="2">
        <f t="shared" si="10"/>
        <v>78.200093857012604</v>
      </c>
    </row>
    <row r="76" spans="1:9" x14ac:dyDescent="0.2">
      <c r="A76">
        <f t="shared" si="11"/>
        <v>74</v>
      </c>
      <c r="B76" t="s">
        <v>83</v>
      </c>
      <c r="C76">
        <v>39</v>
      </c>
      <c r="D76">
        <v>28</v>
      </c>
      <c r="F76" s="2">
        <f t="shared" si="8"/>
        <v>46.191543883178298</v>
      </c>
      <c r="G76" s="2">
        <f t="shared" si="9"/>
        <v>32.008549973834299</v>
      </c>
      <c r="H76" s="2">
        <v>0</v>
      </c>
      <c r="I76" s="2">
        <f t="shared" si="10"/>
        <v>78.200093857012604</v>
      </c>
    </row>
    <row r="77" spans="1:9" x14ac:dyDescent="0.2">
      <c r="A77">
        <f t="shared" si="11"/>
        <v>75</v>
      </c>
      <c r="B77" t="s">
        <v>84</v>
      </c>
      <c r="C77">
        <v>28</v>
      </c>
      <c r="F77" s="2">
        <f t="shared" si="8"/>
        <v>32.008549973834299</v>
      </c>
      <c r="G77" s="2">
        <v>0</v>
      </c>
      <c r="H77" s="2">
        <v>0</v>
      </c>
      <c r="I77" s="2">
        <f t="shared" si="10"/>
        <v>32.008549973834299</v>
      </c>
    </row>
    <row r="78" spans="1:9" x14ac:dyDescent="0.2">
      <c r="A78">
        <f t="shared" si="11"/>
        <v>76</v>
      </c>
      <c r="B78" t="s">
        <v>84</v>
      </c>
      <c r="C78">
        <v>28</v>
      </c>
      <c r="F78" s="2">
        <f t="shared" si="8"/>
        <v>32.008549973834299</v>
      </c>
      <c r="G78" s="2">
        <v>0</v>
      </c>
      <c r="H78" s="2">
        <v>0</v>
      </c>
      <c r="I78" s="2">
        <f t="shared" si="10"/>
        <v>32.008549973834299</v>
      </c>
    </row>
    <row r="79" spans="1:9" x14ac:dyDescent="0.2">
      <c r="A79">
        <f t="shared" si="11"/>
        <v>77</v>
      </c>
      <c r="B79" t="s">
        <v>85</v>
      </c>
      <c r="C79">
        <v>28</v>
      </c>
      <c r="F79" s="2">
        <f t="shared" si="8"/>
        <v>32.008549973834299</v>
      </c>
      <c r="G79" s="2">
        <v>0</v>
      </c>
      <c r="H79" s="2">
        <v>0</v>
      </c>
      <c r="I79" s="2">
        <f t="shared" si="10"/>
        <v>32.008549973834299</v>
      </c>
    </row>
    <row r="80" spans="1:9" x14ac:dyDescent="0.2">
      <c r="A80">
        <f t="shared" si="11"/>
        <v>78</v>
      </c>
      <c r="B80" t="s">
        <v>85</v>
      </c>
      <c r="C80">
        <v>28</v>
      </c>
      <c r="F80" s="2">
        <f t="shared" si="8"/>
        <v>32.008549973834299</v>
      </c>
      <c r="G80" s="2">
        <v>0</v>
      </c>
      <c r="H80" s="2">
        <v>0</v>
      </c>
      <c r="I80" s="2">
        <f t="shared" si="10"/>
        <v>32.008549973834299</v>
      </c>
    </row>
    <row r="81" spans="1:11" x14ac:dyDescent="0.2">
      <c r="A81">
        <f t="shared" si="11"/>
        <v>79</v>
      </c>
      <c r="B81" t="s">
        <v>86</v>
      </c>
      <c r="C81">
        <v>28</v>
      </c>
      <c r="F81" s="2">
        <f t="shared" si="8"/>
        <v>32.008549973834299</v>
      </c>
      <c r="G81" s="2">
        <v>0</v>
      </c>
      <c r="H81" s="2">
        <v>0</v>
      </c>
      <c r="I81" s="2">
        <f t="shared" si="10"/>
        <v>32.008549973834299</v>
      </c>
    </row>
    <row r="82" spans="1:11" x14ac:dyDescent="0.2">
      <c r="A82">
        <f t="shared" si="11"/>
        <v>80</v>
      </c>
      <c r="B82" t="s">
        <v>86</v>
      </c>
      <c r="C82">
        <v>28</v>
      </c>
      <c r="F82" s="2">
        <f t="shared" si="8"/>
        <v>32.008549973834299</v>
      </c>
      <c r="G82" s="2">
        <v>0</v>
      </c>
      <c r="H82" s="2">
        <v>0</v>
      </c>
      <c r="I82" s="2">
        <f t="shared" si="10"/>
        <v>32.008549973834299</v>
      </c>
    </row>
    <row r="83" spans="1:11" x14ac:dyDescent="0.2">
      <c r="A83">
        <f t="shared" si="11"/>
        <v>81</v>
      </c>
      <c r="B83" t="s">
        <v>87</v>
      </c>
      <c r="C83">
        <v>28</v>
      </c>
      <c r="F83" s="2">
        <f t="shared" si="8"/>
        <v>32.008549973834299</v>
      </c>
      <c r="G83" s="2">
        <v>0</v>
      </c>
      <c r="H83" s="2">
        <v>0</v>
      </c>
      <c r="I83" s="2">
        <f t="shared" si="10"/>
        <v>32.008549973834299</v>
      </c>
    </row>
    <row r="84" spans="1:11" x14ac:dyDescent="0.2">
      <c r="A84">
        <f t="shared" si="11"/>
        <v>82</v>
      </c>
      <c r="B84" t="s">
        <v>87</v>
      </c>
      <c r="C84">
        <v>28</v>
      </c>
      <c r="F84" s="2">
        <f t="shared" si="8"/>
        <v>32.008549973834299</v>
      </c>
      <c r="G84" s="2">
        <v>0</v>
      </c>
      <c r="H84" s="2">
        <v>0</v>
      </c>
      <c r="I84" s="2">
        <f t="shared" si="10"/>
        <v>32.008549973834299</v>
      </c>
    </row>
    <row r="85" spans="1:11" x14ac:dyDescent="0.2">
      <c r="A85">
        <f t="shared" si="11"/>
        <v>83</v>
      </c>
      <c r="B85" t="s">
        <v>88</v>
      </c>
      <c r="C85">
        <v>28</v>
      </c>
      <c r="F85" s="2">
        <f t="shared" si="8"/>
        <v>32.008549973834299</v>
      </c>
      <c r="G85" s="2">
        <v>0</v>
      </c>
      <c r="H85" s="2">
        <v>0</v>
      </c>
      <c r="I85" s="2">
        <f t="shared" si="10"/>
        <v>32.008549973834299</v>
      </c>
    </row>
    <row r="86" spans="1:11" x14ac:dyDescent="0.2">
      <c r="A86">
        <f t="shared" si="11"/>
        <v>84</v>
      </c>
      <c r="B86" t="s">
        <v>88</v>
      </c>
      <c r="C86">
        <v>28</v>
      </c>
      <c r="F86" s="2">
        <f t="shared" si="8"/>
        <v>32.008549973834299</v>
      </c>
      <c r="G86" s="2">
        <v>0</v>
      </c>
      <c r="H86" s="2">
        <v>0</v>
      </c>
      <c r="I86" s="2">
        <f t="shared" si="10"/>
        <v>32.008549973834299</v>
      </c>
    </row>
    <row r="87" spans="1:11" x14ac:dyDescent="0.2">
      <c r="A87">
        <f t="shared" si="11"/>
        <v>85</v>
      </c>
      <c r="B87" t="s">
        <v>89</v>
      </c>
      <c r="C87">
        <v>28</v>
      </c>
      <c r="F87" s="2">
        <f t="shared" si="8"/>
        <v>32.008549973834299</v>
      </c>
      <c r="G87" s="2">
        <v>0</v>
      </c>
      <c r="H87" s="2">
        <v>0</v>
      </c>
      <c r="I87" s="2">
        <f t="shared" si="10"/>
        <v>32.008549973834299</v>
      </c>
    </row>
    <row r="88" spans="1:11" x14ac:dyDescent="0.2">
      <c r="A88">
        <f t="shared" si="11"/>
        <v>86</v>
      </c>
      <c r="B88" t="s">
        <v>89</v>
      </c>
      <c r="C88">
        <v>28</v>
      </c>
      <c r="F88" s="2">
        <f t="shared" si="8"/>
        <v>32.008549973834299</v>
      </c>
      <c r="G88" s="2">
        <v>0</v>
      </c>
      <c r="H88" s="2">
        <v>0</v>
      </c>
      <c r="I88" s="2">
        <f t="shared" si="10"/>
        <v>32.008549973834299</v>
      </c>
    </row>
    <row r="89" spans="1:11" x14ac:dyDescent="0.2">
      <c r="A89">
        <f t="shared" si="11"/>
        <v>87</v>
      </c>
      <c r="B89" t="s">
        <v>90</v>
      </c>
      <c r="C89">
        <v>28</v>
      </c>
      <c r="F89" s="2">
        <f t="shared" si="8"/>
        <v>32.008549973834299</v>
      </c>
      <c r="G89" s="2">
        <v>0</v>
      </c>
      <c r="H89" s="2">
        <v>0</v>
      </c>
      <c r="I89" s="2">
        <f t="shared" si="10"/>
        <v>32.008549973834299</v>
      </c>
    </row>
    <row r="90" spans="1:11" x14ac:dyDescent="0.2">
      <c r="A90">
        <f t="shared" si="11"/>
        <v>88</v>
      </c>
      <c r="B90" t="s">
        <v>90</v>
      </c>
      <c r="C90">
        <v>28</v>
      </c>
      <c r="F90" s="2">
        <f t="shared" si="8"/>
        <v>32.008549973834299</v>
      </c>
      <c r="G90" s="2">
        <v>0</v>
      </c>
      <c r="H90" s="2">
        <v>0</v>
      </c>
      <c r="I90" s="2">
        <f t="shared" si="10"/>
        <v>32.008549973834299</v>
      </c>
    </row>
    <row r="91" spans="1:11" x14ac:dyDescent="0.2">
      <c r="A91">
        <f t="shared" si="11"/>
        <v>89</v>
      </c>
      <c r="B91" t="s">
        <v>91</v>
      </c>
      <c r="C91">
        <v>28</v>
      </c>
      <c r="F91" s="2">
        <f t="shared" si="8"/>
        <v>32.008549973834299</v>
      </c>
      <c r="G91" s="2">
        <v>0</v>
      </c>
      <c r="H91" s="2">
        <v>0</v>
      </c>
      <c r="I91" s="2">
        <f t="shared" si="10"/>
        <v>32.008549973834299</v>
      </c>
    </row>
    <row r="92" spans="1:11" x14ac:dyDescent="0.2">
      <c r="A92" s="7" t="s">
        <v>121</v>
      </c>
    </row>
    <row r="93" spans="1:11" x14ac:dyDescent="0.2">
      <c r="A93" s="10" t="s">
        <v>122</v>
      </c>
      <c r="B93" s="11"/>
      <c r="C93" s="11"/>
      <c r="D93" s="11"/>
      <c r="E93" s="11"/>
      <c r="F93" s="12"/>
      <c r="G93" s="12"/>
      <c r="H93" s="12"/>
      <c r="I93" s="12"/>
      <c r="J93" s="11"/>
      <c r="K93" s="11"/>
    </row>
    <row r="94" spans="1:11" x14ac:dyDescent="0.2">
      <c r="A94" s="11"/>
      <c r="B94" s="11"/>
      <c r="C94" s="11"/>
      <c r="D94" s="11"/>
      <c r="E94" s="11"/>
      <c r="F94" s="12"/>
      <c r="G94" s="12"/>
      <c r="H94" s="12"/>
      <c r="I94" s="12"/>
      <c r="J94" s="11"/>
      <c r="K94" s="11"/>
    </row>
    <row r="130" spans="1:1" x14ac:dyDescent="0.2">
      <c r="A130" s="7"/>
    </row>
  </sheetData>
  <mergeCells count="2">
    <mergeCell ref="A1:I1"/>
    <mergeCell ref="S2:T2"/>
  </mergeCells>
  <conditionalFormatting sqref="Q2">
    <cfRule type="colorScale" priority="18">
      <colorScale>
        <cfvo type="min"/>
        <cfvo type="percentile" val="50"/>
        <cfvo type="max"/>
        <color rgb="FFF8696B"/>
        <color rgb="FFFFEB84"/>
        <color rgb="FF63BE7B"/>
      </colorScale>
    </cfRule>
  </conditionalFormatting>
  <conditionalFormatting sqref="Q3:Q7">
    <cfRule type="colorScale" priority="17">
      <colorScale>
        <cfvo type="min"/>
        <cfvo type="percentile" val="50"/>
        <cfvo type="max"/>
        <color rgb="FFF8696B"/>
        <color rgb="FFFFEB84"/>
        <color rgb="FF63BE7B"/>
      </colorScale>
    </cfRule>
  </conditionalFormatting>
  <conditionalFormatting sqref="Q11:Q12">
    <cfRule type="colorScale" priority="16">
      <colorScale>
        <cfvo type="min"/>
        <cfvo type="percentile" val="50"/>
        <cfvo type="max"/>
        <color rgb="FFF8696B"/>
        <color rgb="FFFFEB84"/>
        <color rgb="FF63BE7B"/>
      </colorScale>
    </cfRule>
  </conditionalFormatting>
  <conditionalFormatting sqref="Q3:Q7 Q11:Q12">
    <cfRule type="colorScale" priority="15">
      <colorScale>
        <cfvo type="min"/>
        <cfvo type="percentile" val="50"/>
        <cfvo type="max"/>
        <color rgb="FFF8696B"/>
        <color rgb="FFFFEB84"/>
        <color rgb="FF63BE7B"/>
      </colorScale>
    </cfRule>
  </conditionalFormatting>
  <conditionalFormatting sqref="Q8:Q10">
    <cfRule type="colorScale" priority="14">
      <colorScale>
        <cfvo type="min"/>
        <cfvo type="percentile" val="50"/>
        <cfvo type="max"/>
        <color rgb="FFF8696B"/>
        <color rgb="FFFFEB84"/>
        <color rgb="FF63BE7B"/>
      </colorScale>
    </cfRule>
  </conditionalFormatting>
  <conditionalFormatting sqref="Q8:Q10">
    <cfRule type="colorScale" priority="13">
      <colorScale>
        <cfvo type="min"/>
        <cfvo type="percentile" val="50"/>
        <cfvo type="max"/>
        <color rgb="FFF8696B"/>
        <color rgb="FFFFEB84"/>
        <color rgb="FF63BE7B"/>
      </colorScale>
    </cfRule>
  </conditionalFormatting>
  <conditionalFormatting sqref="Q3">
    <cfRule type="colorScale" priority="12">
      <colorScale>
        <cfvo type="min"/>
        <cfvo type="percentile" val="50"/>
        <cfvo type="max"/>
        <color rgb="FFF8696B"/>
        <color rgb="FFFFEB84"/>
        <color rgb="FF63BE7B"/>
      </colorScale>
    </cfRule>
  </conditionalFormatting>
  <conditionalFormatting sqref="N3:N12">
    <cfRule type="colorScale" priority="22">
      <colorScale>
        <cfvo type="min"/>
        <cfvo type="percentile" val="50"/>
        <cfvo type="max"/>
        <color rgb="FFF8696B"/>
        <color rgb="FFFFEB84"/>
        <color rgb="FF63BE7B"/>
      </colorScale>
    </cfRule>
  </conditionalFormatting>
  <conditionalFormatting sqref="T4:T13">
    <cfRule type="colorScale" priority="1">
      <colorScale>
        <cfvo type="min"/>
        <cfvo type="percentile" val="50"/>
        <cfvo type="max"/>
        <color rgb="FFF8696B"/>
        <color rgb="FFFFEB84"/>
        <color rgb="FF63BE7B"/>
      </colorScale>
    </cfRule>
  </conditionalFormatting>
  <pageMargins left="0.7" right="0.7" top="0.75" bottom="0.75" header="0.3" footer="0.3"/>
  <drawing r:id="rId1"/>
  <mc:AlternateContent xmlns:mc="http://schemas.openxmlformats.org/markup-compatibility/2006">
    <mc:Choice Requires="v">
      <legacyDrawing r:id="rId2"/>
    </mc:Choice>
  </mc:AlternateConten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FF9C9-CE44-8D49-A2B5-17132A0C567A}">
  <dimension ref="A1:J86"/>
  <sheetViews>
    <sheetView tabSelected="1" zoomScale="117" workbookViewId="0">
      <selection activeCell="F84" sqref="F84"/>
    </sheetView>
  </sheetViews>
  <sheetFormatPr baseColWidth="10" defaultRowHeight="16" x14ac:dyDescent="0.2"/>
  <cols>
    <col min="4" max="4" width="21.83203125" bestFit="1" customWidth="1"/>
    <col min="5" max="5" width="16.33203125" style="2" customWidth="1"/>
    <col min="6" max="6" width="10.83203125" style="13"/>
    <col min="7" max="7" width="37.6640625" customWidth="1"/>
  </cols>
  <sheetData>
    <row r="1" spans="1:10" x14ac:dyDescent="0.2">
      <c r="A1" t="s">
        <v>0</v>
      </c>
      <c r="B1" t="s">
        <v>1</v>
      </c>
      <c r="C1" s="1" t="s">
        <v>2</v>
      </c>
      <c r="D1" s="3" t="s">
        <v>3</v>
      </c>
      <c r="E1" s="2" t="s">
        <v>125</v>
      </c>
    </row>
    <row r="2" spans="1:10" x14ac:dyDescent="0.2">
      <c r="A2">
        <v>1</v>
      </c>
      <c r="B2" t="s">
        <v>4</v>
      </c>
      <c r="C2" s="1">
        <v>9.5620842600000006E-2</v>
      </c>
      <c r="D2" s="3">
        <v>164.504580020438</v>
      </c>
      <c r="E2" s="2">
        <f>200/C2</f>
        <v>2091.5942022874415</v>
      </c>
      <c r="F2" s="13">
        <f>SUM($E$2:E2)</f>
        <v>2091.5942022874415</v>
      </c>
      <c r="H2" t="s">
        <v>123</v>
      </c>
    </row>
    <row r="3" spans="1:10" x14ac:dyDescent="0.2">
      <c r="A3">
        <v>2</v>
      </c>
      <c r="B3" t="s">
        <v>5</v>
      </c>
      <c r="C3" s="1">
        <v>0.13123147399999999</v>
      </c>
      <c r="D3" s="3">
        <v>69.826299471314996</v>
      </c>
      <c r="E3" s="2">
        <f t="shared" ref="E3:E66" si="0">200/C3</f>
        <v>1524.0246406132726</v>
      </c>
      <c r="F3" s="13">
        <f>SUM($E$2:E3)</f>
        <v>3615.6188429007143</v>
      </c>
      <c r="H3" t="s">
        <v>124</v>
      </c>
    </row>
    <row r="4" spans="1:10" x14ac:dyDescent="0.2">
      <c r="A4">
        <v>6</v>
      </c>
      <c r="B4" t="s">
        <v>8</v>
      </c>
      <c r="C4" s="1">
        <v>0.18813263529999999</v>
      </c>
      <c r="D4" s="3">
        <v>60.252289655618299</v>
      </c>
      <c r="E4" s="2">
        <f t="shared" si="0"/>
        <v>1063.0797771002149</v>
      </c>
      <c r="F4" s="13">
        <f>SUM($E$2:E4)</f>
        <v>4678.6986200009287</v>
      </c>
      <c r="H4" t="s">
        <v>126</v>
      </c>
    </row>
    <row r="5" spans="1:10" x14ac:dyDescent="0.2">
      <c r="A5">
        <v>4</v>
      </c>
      <c r="B5" t="s">
        <v>6</v>
      </c>
      <c r="C5" s="1">
        <v>0.1910958904</v>
      </c>
      <c r="D5" s="3">
        <v>115.92800450278401</v>
      </c>
      <c r="E5" s="2">
        <f t="shared" si="0"/>
        <v>1046.5949821388729</v>
      </c>
      <c r="F5" s="13">
        <f>SUM($E$2:E5)</f>
        <v>5725.2936021398018</v>
      </c>
      <c r="H5" s="7" t="s">
        <v>127</v>
      </c>
    </row>
    <row r="6" spans="1:10" x14ac:dyDescent="0.2">
      <c r="A6">
        <v>5</v>
      </c>
      <c r="B6" t="s">
        <v>7</v>
      </c>
      <c r="C6" s="1">
        <v>0.19845075619999999</v>
      </c>
      <c r="D6" s="3">
        <v>166.23116849921601</v>
      </c>
      <c r="E6" s="2">
        <f t="shared" si="0"/>
        <v>1007.8066913407912</v>
      </c>
      <c r="F6" s="13">
        <f>SUM($E$2:E6)</f>
        <v>6733.1002934805929</v>
      </c>
      <c r="H6" t="s">
        <v>128</v>
      </c>
    </row>
    <row r="7" spans="1:10" x14ac:dyDescent="0.2">
      <c r="A7">
        <v>7</v>
      </c>
      <c r="B7" t="s">
        <v>9</v>
      </c>
      <c r="C7" s="1">
        <v>0.22675848500000001</v>
      </c>
      <c r="D7" s="3">
        <v>164.75845274515399</v>
      </c>
      <c r="E7" s="2">
        <f t="shared" si="0"/>
        <v>881.99566159563994</v>
      </c>
      <c r="F7" s="13">
        <f>SUM($E$2:E7)</f>
        <v>7615.0959550762327</v>
      </c>
      <c r="I7" s="7"/>
    </row>
    <row r="8" spans="1:10" x14ac:dyDescent="0.2">
      <c r="A8">
        <v>14</v>
      </c>
      <c r="B8" t="s">
        <v>16</v>
      </c>
      <c r="C8" s="1">
        <v>0.2319189971</v>
      </c>
      <c r="D8" s="3">
        <v>133.05342699866699</v>
      </c>
      <c r="E8" s="2">
        <f t="shared" si="0"/>
        <v>862.37006239623827</v>
      </c>
      <c r="F8" s="13">
        <f>SUM($E$2:E8)</f>
        <v>8477.4660174724704</v>
      </c>
    </row>
    <row r="9" spans="1:10" x14ac:dyDescent="0.2">
      <c r="A9">
        <v>9</v>
      </c>
      <c r="B9" t="s">
        <v>11</v>
      </c>
      <c r="C9" s="1">
        <v>0.23405323959999999</v>
      </c>
      <c r="D9" s="3">
        <v>129.119668873026</v>
      </c>
      <c r="E9" s="2">
        <f t="shared" si="0"/>
        <v>854.50643768829082</v>
      </c>
      <c r="F9" s="13">
        <f>SUM($E$2:E9)</f>
        <v>9331.9724551607615</v>
      </c>
    </row>
    <row r="10" spans="1:10" x14ac:dyDescent="0.2">
      <c r="A10">
        <v>13</v>
      </c>
      <c r="B10" t="s">
        <v>15</v>
      </c>
      <c r="C10" s="1">
        <v>0.24171122989999999</v>
      </c>
      <c r="D10" s="3">
        <v>56.483512879349199</v>
      </c>
      <c r="E10" s="2">
        <f t="shared" si="0"/>
        <v>827.43362847784681</v>
      </c>
      <c r="F10" s="13">
        <f>SUM($E$2:E10)</f>
        <v>10159.406083638609</v>
      </c>
    </row>
    <row r="11" spans="1:10" x14ac:dyDescent="0.2">
      <c r="A11">
        <v>11</v>
      </c>
      <c r="B11" t="s">
        <v>13</v>
      </c>
      <c r="C11" s="1">
        <v>0.24466423740000001</v>
      </c>
      <c r="D11" s="3">
        <v>39.267940570134598</v>
      </c>
      <c r="E11" s="2">
        <f t="shared" si="0"/>
        <v>817.44680843167635</v>
      </c>
      <c r="F11" s="13">
        <f>SUM($E$2:E11)</f>
        <v>10976.852892070285</v>
      </c>
      <c r="H11" s="4" t="s">
        <v>137</v>
      </c>
      <c r="I11" s="4"/>
      <c r="J11" s="4"/>
    </row>
    <row r="12" spans="1:10" x14ac:dyDescent="0.2">
      <c r="A12">
        <v>10</v>
      </c>
      <c r="B12" t="s">
        <v>12</v>
      </c>
      <c r="C12" s="1">
        <v>0.251552795</v>
      </c>
      <c r="D12" s="3">
        <v>124.367106584832</v>
      </c>
      <c r="E12" s="2">
        <f t="shared" si="0"/>
        <v>795.06172849321752</v>
      </c>
      <c r="F12" s="13">
        <f>SUM($E$2:E12)</f>
        <v>11771.914620563502</v>
      </c>
      <c r="H12" t="s">
        <v>134</v>
      </c>
      <c r="I12" t="s">
        <v>135</v>
      </c>
      <c r="J12" t="s">
        <v>136</v>
      </c>
    </row>
    <row r="13" spans="1:10" x14ac:dyDescent="0.2">
      <c r="A13">
        <v>12</v>
      </c>
      <c r="B13" t="s">
        <v>14</v>
      </c>
      <c r="C13" s="1">
        <v>0.26953567379999999</v>
      </c>
      <c r="D13" s="3">
        <v>60.896186234895097</v>
      </c>
      <c r="E13" s="2">
        <f t="shared" si="0"/>
        <v>742.01680683056213</v>
      </c>
      <c r="F13" s="13">
        <f>SUM($E$2:E13)</f>
        <v>12513.931427394065</v>
      </c>
      <c r="H13" s="17">
        <v>1</v>
      </c>
      <c r="I13" s="17">
        <v>2</v>
      </c>
      <c r="J13" s="17">
        <v>3</v>
      </c>
    </row>
    <row r="14" spans="1:10" x14ac:dyDescent="0.2">
      <c r="A14">
        <v>8</v>
      </c>
      <c r="B14" t="s">
        <v>10</v>
      </c>
      <c r="C14" s="1">
        <v>0.27385892119999999</v>
      </c>
      <c r="D14" s="3">
        <v>171.70129029080201</v>
      </c>
      <c r="E14" s="2">
        <f t="shared" si="0"/>
        <v>730.30303020123051</v>
      </c>
      <c r="F14" s="13">
        <f>SUM($E$2:E14)</f>
        <v>13244.234457595296</v>
      </c>
      <c r="H14" s="17">
        <v>1</v>
      </c>
      <c r="I14" s="17">
        <v>2</v>
      </c>
      <c r="J14" s="17">
        <v>3</v>
      </c>
    </row>
    <row r="15" spans="1:10" x14ac:dyDescent="0.2">
      <c r="A15">
        <v>24</v>
      </c>
      <c r="B15" t="s">
        <v>26</v>
      </c>
      <c r="C15" s="1">
        <v>0.27514450870000001</v>
      </c>
      <c r="D15" s="3">
        <v>127.75106491288101</v>
      </c>
      <c r="E15" s="2">
        <f t="shared" si="0"/>
        <v>726.89075622463986</v>
      </c>
      <c r="F15" s="13">
        <f>SUM($E$2:E15)</f>
        <v>13971.125213819936</v>
      </c>
      <c r="H15" s="17">
        <v>1</v>
      </c>
      <c r="I15" s="17">
        <v>2</v>
      </c>
      <c r="J15" s="17">
        <v>4</v>
      </c>
    </row>
    <row r="16" spans="1:10" x14ac:dyDescent="0.2">
      <c r="A16">
        <v>21</v>
      </c>
      <c r="B16" t="s">
        <v>23</v>
      </c>
      <c r="C16" s="1">
        <v>0.290499391</v>
      </c>
      <c r="D16" s="3">
        <v>146.616783197969</v>
      </c>
      <c r="E16" s="2">
        <f t="shared" si="0"/>
        <v>688.46960164539553</v>
      </c>
      <c r="F16" s="13">
        <f>SUM($E$2:E16)</f>
        <v>14659.594815465332</v>
      </c>
      <c r="H16" s="17">
        <v>1</v>
      </c>
      <c r="I16" s="17">
        <v>4</v>
      </c>
      <c r="J16" s="17">
        <v>5</v>
      </c>
    </row>
    <row r="17" spans="1:10" x14ac:dyDescent="0.2">
      <c r="A17">
        <v>15</v>
      </c>
      <c r="B17" t="s">
        <v>17</v>
      </c>
      <c r="C17" s="1">
        <v>0.30193387399999999</v>
      </c>
      <c r="D17" s="3">
        <v>87.615557732060495</v>
      </c>
      <c r="E17" s="2">
        <f t="shared" si="0"/>
        <v>662.39669418476706</v>
      </c>
      <c r="F17" s="13">
        <f>SUM($E$2:E17)</f>
        <v>15321.991509650099</v>
      </c>
      <c r="H17" s="17">
        <v>5</v>
      </c>
      <c r="I17" s="17">
        <v>6</v>
      </c>
      <c r="J17" s="17">
        <v>7</v>
      </c>
    </row>
    <row r="18" spans="1:10" x14ac:dyDescent="0.2">
      <c r="A18">
        <v>19</v>
      </c>
      <c r="B18" t="s">
        <v>21</v>
      </c>
      <c r="C18" s="1">
        <v>0.30492676429999999</v>
      </c>
      <c r="D18" s="3">
        <v>178.785914224572</v>
      </c>
      <c r="E18" s="2">
        <f t="shared" si="0"/>
        <v>655.89519653719685</v>
      </c>
      <c r="F18" s="13">
        <f>SUM($E$2:E18)</f>
        <v>15977.886706187295</v>
      </c>
      <c r="H18" s="17">
        <v>6</v>
      </c>
      <c r="I18" s="17"/>
      <c r="J18" s="17"/>
    </row>
    <row r="19" spans="1:10" x14ac:dyDescent="0.2">
      <c r="A19">
        <v>22</v>
      </c>
      <c r="B19" t="s">
        <v>24</v>
      </c>
      <c r="C19" s="1">
        <v>0.3052422031</v>
      </c>
      <c r="D19" s="3">
        <v>170.205784665886</v>
      </c>
      <c r="E19" s="2">
        <f t="shared" si="0"/>
        <v>655.21739120221935</v>
      </c>
      <c r="F19" s="13">
        <f>SUM($E$2:E19)</f>
        <v>16633.104097389514</v>
      </c>
    </row>
    <row r="20" spans="1:10" x14ac:dyDescent="0.2">
      <c r="A20">
        <v>23</v>
      </c>
      <c r="B20" t="s">
        <v>25</v>
      </c>
      <c r="C20" s="1">
        <v>0.30846394980000003</v>
      </c>
      <c r="D20" s="3">
        <v>61.821378192398697</v>
      </c>
      <c r="E20" s="2">
        <f t="shared" si="0"/>
        <v>648.37398383076788</v>
      </c>
      <c r="F20" s="13">
        <f>SUM($E$2:E20)</f>
        <v>17281.478081220281</v>
      </c>
    </row>
    <row r="21" spans="1:10" x14ac:dyDescent="0.2">
      <c r="A21">
        <v>26</v>
      </c>
      <c r="B21" t="s">
        <v>28</v>
      </c>
      <c r="C21" s="1">
        <v>0.30897832819999999</v>
      </c>
      <c r="D21" s="3">
        <v>70.083100309129804</v>
      </c>
      <c r="E21" s="2">
        <f t="shared" si="0"/>
        <v>647.2945891225778</v>
      </c>
      <c r="F21" s="13">
        <f>SUM($E$2:E21)</f>
        <v>17928.77267034286</v>
      </c>
    </row>
    <row r="22" spans="1:10" x14ac:dyDescent="0.2">
      <c r="A22">
        <v>18</v>
      </c>
      <c r="B22" t="s">
        <v>20</v>
      </c>
      <c r="C22" s="1">
        <v>0.31102850059999998</v>
      </c>
      <c r="D22" s="3">
        <v>137.64277623966299</v>
      </c>
      <c r="E22" s="2">
        <f t="shared" si="0"/>
        <v>643.02788848669263</v>
      </c>
      <c r="F22" s="13">
        <f>SUM($E$2:E22)</f>
        <v>18571.800558829553</v>
      </c>
    </row>
    <row r="23" spans="1:10" x14ac:dyDescent="0.2">
      <c r="A23">
        <v>17</v>
      </c>
      <c r="B23" t="s">
        <v>19</v>
      </c>
      <c r="C23" s="1">
        <v>0.31275720159999998</v>
      </c>
      <c r="D23" s="3">
        <v>104.654886312782</v>
      </c>
      <c r="E23" s="2">
        <f t="shared" si="0"/>
        <v>639.47368430476456</v>
      </c>
      <c r="F23" s="13">
        <f>SUM($E$2:E23)</f>
        <v>19211.274243134318</v>
      </c>
    </row>
    <row r="24" spans="1:10" x14ac:dyDescent="0.2">
      <c r="A24">
        <v>20</v>
      </c>
      <c r="B24" t="s">
        <v>22</v>
      </c>
      <c r="C24" s="1">
        <v>0.31307420489999999</v>
      </c>
      <c r="D24" s="3">
        <v>87.005276915151597</v>
      </c>
      <c r="E24" s="2">
        <f t="shared" si="0"/>
        <v>638.82618519747621</v>
      </c>
      <c r="F24" s="13">
        <f>SUM($E$2:E24)</f>
        <v>19850.100428331793</v>
      </c>
    </row>
    <row r="25" spans="1:10" x14ac:dyDescent="0.2">
      <c r="A25">
        <v>25</v>
      </c>
      <c r="B25" t="s">
        <v>27</v>
      </c>
      <c r="C25" s="1">
        <v>0.32042723629999997</v>
      </c>
      <c r="D25" s="3">
        <v>48.833264394197599</v>
      </c>
      <c r="E25" s="2">
        <f t="shared" si="0"/>
        <v>624.16666669605456</v>
      </c>
      <c r="F25" s="13">
        <f>SUM($E$2:E25)</f>
        <v>20474.267095027848</v>
      </c>
    </row>
    <row r="26" spans="1:10" x14ac:dyDescent="0.2">
      <c r="A26">
        <v>16</v>
      </c>
      <c r="B26" t="s">
        <v>18</v>
      </c>
      <c r="C26" s="1">
        <v>0.32120796159999998</v>
      </c>
      <c r="D26" s="3">
        <v>145.476212999783</v>
      </c>
      <c r="E26" s="2">
        <f t="shared" si="0"/>
        <v>622.64957258145375</v>
      </c>
      <c r="F26" s="13">
        <f>SUM($E$2:E26)</f>
        <v>21096.916667609301</v>
      </c>
    </row>
    <row r="27" spans="1:10" x14ac:dyDescent="0.2">
      <c r="A27">
        <v>31</v>
      </c>
      <c r="B27" t="s">
        <v>33</v>
      </c>
      <c r="C27" s="1">
        <v>0.3270072993</v>
      </c>
      <c r="D27" s="3">
        <v>81.052349503152001</v>
      </c>
      <c r="E27" s="2">
        <f t="shared" si="0"/>
        <v>611.60714280116986</v>
      </c>
      <c r="F27" s="13">
        <f>SUM($E$2:E27)</f>
        <v>21708.523810410472</v>
      </c>
    </row>
    <row r="28" spans="1:10" x14ac:dyDescent="0.2">
      <c r="A28">
        <v>33</v>
      </c>
      <c r="B28" t="s">
        <v>35</v>
      </c>
      <c r="C28" s="1">
        <v>0.33433508639999998</v>
      </c>
      <c r="D28" s="3">
        <v>119.93487381376301</v>
      </c>
      <c r="E28" s="2">
        <f t="shared" si="0"/>
        <v>598.20224719316207</v>
      </c>
      <c r="F28" s="13">
        <f>SUM($E$2:E28)</f>
        <v>22306.726057603635</v>
      </c>
    </row>
    <row r="29" spans="1:10" x14ac:dyDescent="0.2">
      <c r="A29">
        <v>27</v>
      </c>
      <c r="B29" t="s">
        <v>29</v>
      </c>
      <c r="C29" s="1">
        <v>0.3503546099</v>
      </c>
      <c r="D29" s="3">
        <v>87.917113881558095</v>
      </c>
      <c r="E29" s="2">
        <f t="shared" si="0"/>
        <v>570.85020247652801</v>
      </c>
      <c r="F29" s="13">
        <f>SUM($E$2:E29)</f>
        <v>22877.576260080165</v>
      </c>
    </row>
    <row r="30" spans="1:10" x14ac:dyDescent="0.2">
      <c r="A30">
        <v>32</v>
      </c>
      <c r="B30" t="s">
        <v>34</v>
      </c>
      <c r="C30" s="1">
        <v>0.36319104270000002</v>
      </c>
      <c r="D30" s="3">
        <v>102.312017320655</v>
      </c>
      <c r="E30" s="2">
        <f t="shared" si="0"/>
        <v>550.67437377634417</v>
      </c>
      <c r="F30" s="13">
        <f>SUM($E$2:E30)</f>
        <v>23428.250633856507</v>
      </c>
    </row>
    <row r="31" spans="1:10" x14ac:dyDescent="0.2">
      <c r="A31">
        <v>35</v>
      </c>
      <c r="B31" t="s">
        <v>37</v>
      </c>
      <c r="C31" s="1">
        <v>0.375</v>
      </c>
      <c r="D31" s="3">
        <v>57.932640211656597</v>
      </c>
      <c r="E31" s="2">
        <f t="shared" si="0"/>
        <v>533.33333333333337</v>
      </c>
      <c r="F31" s="13">
        <f>SUM($E$2:E31)</f>
        <v>23961.583967189839</v>
      </c>
    </row>
    <row r="32" spans="1:10" x14ac:dyDescent="0.2">
      <c r="A32">
        <v>36</v>
      </c>
      <c r="B32" t="s">
        <v>38</v>
      </c>
      <c r="C32" s="1">
        <v>0.39064976229999998</v>
      </c>
      <c r="D32" s="3">
        <v>154.105997791048</v>
      </c>
      <c r="E32" s="2">
        <f t="shared" si="0"/>
        <v>511.96754561547573</v>
      </c>
      <c r="F32" s="13">
        <f>SUM($E$2:E32)</f>
        <v>24473.551512805316</v>
      </c>
    </row>
    <row r="33" spans="1:6" x14ac:dyDescent="0.2">
      <c r="A33">
        <v>30</v>
      </c>
      <c r="B33" t="s">
        <v>32</v>
      </c>
      <c r="C33" s="1">
        <v>0.39451114920000002</v>
      </c>
      <c r="D33" s="3">
        <v>160.45362685807001</v>
      </c>
      <c r="E33" s="2">
        <f t="shared" si="0"/>
        <v>506.95652177527859</v>
      </c>
      <c r="F33" s="13">
        <f>SUM($E$2:E33)</f>
        <v>24980.508034580595</v>
      </c>
    </row>
    <row r="34" spans="1:6" x14ac:dyDescent="0.2">
      <c r="A34">
        <v>34</v>
      </c>
      <c r="B34" t="s">
        <v>36</v>
      </c>
      <c r="C34" s="1">
        <v>0.39729299359999998</v>
      </c>
      <c r="D34" s="3">
        <v>104.03119605733001</v>
      </c>
      <c r="E34" s="2">
        <f t="shared" si="0"/>
        <v>503.40681366599364</v>
      </c>
      <c r="F34" s="13">
        <f>SUM($E$2:E34)</f>
        <v>25483.91484824659</v>
      </c>
    </row>
    <row r="35" spans="1:6" x14ac:dyDescent="0.2">
      <c r="A35">
        <v>29</v>
      </c>
      <c r="B35" t="s">
        <v>31</v>
      </c>
      <c r="C35" s="1">
        <v>0.40109389239999998</v>
      </c>
      <c r="D35" s="3">
        <v>87.358193560503395</v>
      </c>
      <c r="E35" s="2">
        <f t="shared" si="0"/>
        <v>498.63636367852109</v>
      </c>
      <c r="F35" s="13">
        <f>SUM($E$2:E35)</f>
        <v>25982.551211925111</v>
      </c>
    </row>
    <row r="36" spans="1:6" x14ac:dyDescent="0.2">
      <c r="A36">
        <v>39</v>
      </c>
      <c r="B36" t="s">
        <v>41</v>
      </c>
      <c r="C36" s="1">
        <v>0.41102941180000002</v>
      </c>
      <c r="D36" s="3">
        <v>46.191543883178298</v>
      </c>
      <c r="E36" s="2">
        <f t="shared" si="0"/>
        <v>486.58318421582112</v>
      </c>
      <c r="F36" s="13">
        <f>SUM($E$2:E36)</f>
        <v>26469.134396140933</v>
      </c>
    </row>
    <row r="37" spans="1:6" x14ac:dyDescent="0.2">
      <c r="A37">
        <v>43</v>
      </c>
      <c r="B37" t="s">
        <v>45</v>
      </c>
      <c r="C37" s="1">
        <v>0.41181165199999997</v>
      </c>
      <c r="D37" s="3">
        <v>127.059029072988</v>
      </c>
      <c r="E37" s="2">
        <f t="shared" si="0"/>
        <v>485.65891477009495</v>
      </c>
      <c r="F37" s="13">
        <f>SUM($E$2:E37)</f>
        <v>26954.793310911027</v>
      </c>
    </row>
    <row r="38" spans="1:6" x14ac:dyDescent="0.2">
      <c r="A38">
        <v>28</v>
      </c>
      <c r="B38" t="s">
        <v>30</v>
      </c>
      <c r="C38" s="1">
        <v>0.41253507950000001</v>
      </c>
      <c r="D38" s="3">
        <v>32.008549973834299</v>
      </c>
      <c r="E38" s="2">
        <f t="shared" si="0"/>
        <v>484.80725625176802</v>
      </c>
      <c r="F38" s="13">
        <f>SUM($E$2:E38)</f>
        <v>27439.600567162794</v>
      </c>
    </row>
    <row r="39" spans="1:6" x14ac:dyDescent="0.2">
      <c r="A39">
        <v>37</v>
      </c>
      <c r="B39" t="s">
        <v>39</v>
      </c>
      <c r="C39" s="1">
        <v>0.41782729810000002</v>
      </c>
      <c r="D39" s="3">
        <v>130.270010728854</v>
      </c>
      <c r="E39" s="2">
        <f t="shared" si="0"/>
        <v>478.66666660954576</v>
      </c>
      <c r="F39" s="13">
        <f>SUM($E$2:E39)</f>
        <v>27918.267233772338</v>
      </c>
    </row>
    <row r="40" spans="1:6" x14ac:dyDescent="0.2">
      <c r="A40">
        <v>38</v>
      </c>
      <c r="B40" t="s">
        <v>40</v>
      </c>
      <c r="C40" s="1">
        <v>0.42509225090000002</v>
      </c>
      <c r="D40" s="3">
        <v>149.13597910897801</v>
      </c>
      <c r="E40" s="2">
        <f t="shared" si="0"/>
        <v>470.48611113602396</v>
      </c>
      <c r="F40" s="13">
        <f>SUM($E$2:E40)</f>
        <v>28388.75334490836</v>
      </c>
    </row>
    <row r="41" spans="1:6" x14ac:dyDescent="0.2">
      <c r="A41">
        <v>45</v>
      </c>
      <c r="B41" t="s">
        <v>47</v>
      </c>
      <c r="C41" s="1">
        <v>0.42563143120000002</v>
      </c>
      <c r="D41" s="3">
        <v>112.9554467462</v>
      </c>
      <c r="E41" s="2">
        <f t="shared" si="0"/>
        <v>469.89010993885449</v>
      </c>
      <c r="F41" s="13">
        <f>SUM($E$2:E41)</f>
        <v>28858.643454847213</v>
      </c>
    </row>
    <row r="42" spans="1:6" x14ac:dyDescent="0.2">
      <c r="A42">
        <v>41</v>
      </c>
      <c r="B42" t="s">
        <v>43</v>
      </c>
      <c r="C42" s="1">
        <v>0.4311926606</v>
      </c>
      <c r="D42" s="3">
        <v>91.691164446529001</v>
      </c>
      <c r="E42" s="2">
        <f t="shared" si="0"/>
        <v>463.82978718075145</v>
      </c>
      <c r="F42" s="13">
        <f>SUM($E$2:E42)</f>
        <v>29322.473242027965</v>
      </c>
    </row>
    <row r="43" spans="1:6" x14ac:dyDescent="0.2">
      <c r="A43">
        <v>40</v>
      </c>
      <c r="B43" t="s">
        <v>42</v>
      </c>
      <c r="C43" s="1">
        <v>0.44103547459999998</v>
      </c>
      <c r="D43" s="3">
        <v>138.556641906034</v>
      </c>
      <c r="E43" s="2">
        <f t="shared" si="0"/>
        <v>453.47826086187581</v>
      </c>
      <c r="F43" s="13">
        <f>SUM($E$2:E43)</f>
        <v>29775.951502889842</v>
      </c>
    </row>
    <row r="44" spans="1:6" x14ac:dyDescent="0.2">
      <c r="A44">
        <v>44</v>
      </c>
      <c r="B44" t="s">
        <v>46</v>
      </c>
      <c r="C44" s="1">
        <v>0.44346289750000001</v>
      </c>
      <c r="D44" s="3">
        <v>147.439914343412</v>
      </c>
      <c r="E44" s="2">
        <f t="shared" si="0"/>
        <v>450.9960159632069</v>
      </c>
      <c r="F44" s="13">
        <f>SUM($E$2:E44)</f>
        <v>30226.947518853049</v>
      </c>
    </row>
    <row r="45" spans="1:6" x14ac:dyDescent="0.2">
      <c r="A45">
        <v>42</v>
      </c>
      <c r="B45" t="s">
        <v>44</v>
      </c>
      <c r="C45" s="1">
        <v>0.4606334842</v>
      </c>
      <c r="D45" s="3">
        <v>153.14194411737799</v>
      </c>
      <c r="E45" s="2">
        <f t="shared" si="0"/>
        <v>434.18467579999691</v>
      </c>
      <c r="F45" s="13">
        <f>SUM($E$2:E45)</f>
        <v>30661.132194653044</v>
      </c>
    </row>
    <row r="46" spans="1:6" x14ac:dyDescent="0.2">
      <c r="A46">
        <v>47</v>
      </c>
      <c r="B46" t="s">
        <v>49</v>
      </c>
      <c r="C46" s="1">
        <v>0.48529411760000002</v>
      </c>
      <c r="D46" s="3">
        <v>148.403434753417</v>
      </c>
      <c r="E46" s="2">
        <f t="shared" si="0"/>
        <v>412.12121216117538</v>
      </c>
      <c r="F46" s="13">
        <f>SUM($E$2:E46)</f>
        <v>31073.253406814219</v>
      </c>
    </row>
    <row r="47" spans="1:6" x14ac:dyDescent="0.2">
      <c r="A47">
        <v>49</v>
      </c>
      <c r="B47" t="s">
        <v>51</v>
      </c>
      <c r="C47" s="1">
        <v>0.48590864919999999</v>
      </c>
      <c r="D47" s="3">
        <v>101.58450975548401</v>
      </c>
      <c r="E47" s="2">
        <f t="shared" si="0"/>
        <v>411.59999997793824</v>
      </c>
      <c r="F47" s="13">
        <f>SUM($E$2:E47)</f>
        <v>31484.853406792157</v>
      </c>
    </row>
    <row r="48" spans="1:6" x14ac:dyDescent="0.2">
      <c r="A48">
        <v>48</v>
      </c>
      <c r="B48" t="s">
        <v>50</v>
      </c>
      <c r="C48" s="1">
        <v>0.49395348839999997</v>
      </c>
      <c r="D48" s="3">
        <v>33.4996803500689</v>
      </c>
      <c r="E48" s="2">
        <f t="shared" si="0"/>
        <v>404.89642182269893</v>
      </c>
      <c r="F48" s="13">
        <f>SUM($E$2:E48)</f>
        <v>31889.749828614855</v>
      </c>
    </row>
    <row r="49" spans="1:6" x14ac:dyDescent="0.2">
      <c r="A49">
        <v>55</v>
      </c>
      <c r="B49" t="s">
        <v>57</v>
      </c>
      <c r="C49" s="1">
        <v>0.49788135589999999</v>
      </c>
      <c r="D49" s="3">
        <v>66.719591554719898</v>
      </c>
      <c r="E49" s="2">
        <f t="shared" si="0"/>
        <v>401.70212768555689</v>
      </c>
      <c r="F49" s="13">
        <f>SUM($E$2:E49)</f>
        <v>32291.451956300411</v>
      </c>
    </row>
    <row r="50" spans="1:6" x14ac:dyDescent="0.2">
      <c r="A50">
        <v>46</v>
      </c>
      <c r="B50" t="s">
        <v>48</v>
      </c>
      <c r="C50" s="1">
        <v>0.50096899220000002</v>
      </c>
      <c r="D50" s="3">
        <v>109.45793702965599</v>
      </c>
      <c r="E50" s="2">
        <f t="shared" si="0"/>
        <v>399.22630564758532</v>
      </c>
      <c r="F50" s="13">
        <f>SUM($E$2:E50)</f>
        <v>32690.678261947996</v>
      </c>
    </row>
    <row r="51" spans="1:6" x14ac:dyDescent="0.2">
      <c r="A51">
        <v>62</v>
      </c>
      <c r="B51" t="s">
        <v>64</v>
      </c>
      <c r="C51" s="1">
        <v>0.5266075388</v>
      </c>
      <c r="D51" s="3">
        <v>166.93138863891301</v>
      </c>
      <c r="E51" s="2">
        <f t="shared" si="0"/>
        <v>379.78947368612944</v>
      </c>
      <c r="F51" s="13">
        <f>SUM($E$2:E51)</f>
        <v>33070.467735634127</v>
      </c>
    </row>
    <row r="52" spans="1:6" x14ac:dyDescent="0.2">
      <c r="A52">
        <v>61</v>
      </c>
      <c r="B52" t="s">
        <v>63</v>
      </c>
      <c r="C52" s="1">
        <v>0.53409090910000001</v>
      </c>
      <c r="D52" s="3">
        <v>91.024528078269199</v>
      </c>
      <c r="E52" s="2">
        <f t="shared" si="0"/>
        <v>374.46808510000903</v>
      </c>
      <c r="F52" s="13">
        <f>SUM($E$2:E52)</f>
        <v>33444.935820734136</v>
      </c>
    </row>
    <row r="53" spans="1:6" x14ac:dyDescent="0.2">
      <c r="A53">
        <v>51</v>
      </c>
      <c r="B53" t="s">
        <v>53</v>
      </c>
      <c r="C53" s="1">
        <v>0.5568312285</v>
      </c>
      <c r="D53" s="3">
        <v>133.909733472391</v>
      </c>
      <c r="E53" s="2">
        <f t="shared" si="0"/>
        <v>359.17525771455541</v>
      </c>
      <c r="F53" s="13">
        <f>SUM($E$2:E53)</f>
        <v>33804.111078448688</v>
      </c>
    </row>
    <row r="54" spans="1:6" x14ac:dyDescent="0.2">
      <c r="A54">
        <v>58</v>
      </c>
      <c r="B54" t="s">
        <v>60</v>
      </c>
      <c r="C54" s="1">
        <v>0.57158962800000002</v>
      </c>
      <c r="D54" s="3">
        <v>77.440756077412502</v>
      </c>
      <c r="E54" s="2">
        <f t="shared" si="0"/>
        <v>349.90138064576638</v>
      </c>
      <c r="F54" s="13">
        <f>SUM($E$2:E54)</f>
        <v>34154.012459094454</v>
      </c>
    </row>
    <row r="55" spans="1:6" x14ac:dyDescent="0.2">
      <c r="A55">
        <v>56</v>
      </c>
      <c r="B55" t="s">
        <v>58</v>
      </c>
      <c r="C55" s="1">
        <v>0.5715922108</v>
      </c>
      <c r="D55" s="3">
        <v>40.601857071742401</v>
      </c>
      <c r="E55" s="2">
        <f t="shared" si="0"/>
        <v>349.89979957928426</v>
      </c>
      <c r="F55" s="13">
        <f>SUM($E$2:E55)</f>
        <v>34503.912258673736</v>
      </c>
    </row>
    <row r="56" spans="1:6" x14ac:dyDescent="0.2">
      <c r="A56">
        <v>53</v>
      </c>
      <c r="B56" t="s">
        <v>55</v>
      </c>
      <c r="C56" s="1">
        <v>0.57900943400000005</v>
      </c>
      <c r="D56" s="3">
        <v>159.18142152484501</v>
      </c>
      <c r="E56" s="2">
        <f t="shared" si="0"/>
        <v>345.41751525243711</v>
      </c>
      <c r="F56" s="13">
        <f>SUM($E$2:E56)</f>
        <v>34849.329773926176</v>
      </c>
    </row>
    <row r="57" spans="1:6" x14ac:dyDescent="0.2">
      <c r="A57">
        <v>59</v>
      </c>
      <c r="B57" t="s">
        <v>61</v>
      </c>
      <c r="C57" s="1">
        <v>0.61082474229999995</v>
      </c>
      <c r="D57" s="3">
        <v>107.79513947898501</v>
      </c>
      <c r="E57" s="2">
        <f t="shared" si="0"/>
        <v>327.42616032042162</v>
      </c>
      <c r="F57" s="13">
        <f>SUM($E$2:E57)</f>
        <v>35176.755934246597</v>
      </c>
    </row>
    <row r="58" spans="1:6" x14ac:dyDescent="0.2">
      <c r="A58">
        <v>63</v>
      </c>
      <c r="B58" t="s">
        <v>65</v>
      </c>
      <c r="C58" s="1">
        <v>0.61199095020000005</v>
      </c>
      <c r="D58" s="3">
        <v>74.040505914017501</v>
      </c>
      <c r="E58" s="2">
        <f t="shared" si="0"/>
        <v>326.80221812861703</v>
      </c>
      <c r="F58" s="13">
        <f>SUM($E$2:E58)</f>
        <v>35503.558152375212</v>
      </c>
    </row>
    <row r="59" spans="1:6" x14ac:dyDescent="0.2">
      <c r="A59">
        <v>60</v>
      </c>
      <c r="B59" t="s">
        <v>62</v>
      </c>
      <c r="C59" s="1">
        <v>0.61726954489999997</v>
      </c>
      <c r="D59" s="3">
        <v>129.30076146265401</v>
      </c>
      <c r="E59" s="2">
        <f t="shared" si="0"/>
        <v>324.00756144935156</v>
      </c>
      <c r="F59" s="13">
        <f>SUM($E$2:E59)</f>
        <v>35827.565713824566</v>
      </c>
    </row>
    <row r="60" spans="1:6" x14ac:dyDescent="0.2">
      <c r="A60">
        <v>50</v>
      </c>
      <c r="B60" t="s">
        <v>52</v>
      </c>
      <c r="C60" s="1">
        <v>0.62735257209999995</v>
      </c>
      <c r="D60" s="3">
        <v>139.84706080052999</v>
      </c>
      <c r="E60" s="2">
        <f t="shared" si="0"/>
        <v>318.80000002314489</v>
      </c>
      <c r="F60" s="13">
        <f>SUM($E$2:E60)</f>
        <v>36146.365713847714</v>
      </c>
    </row>
    <row r="61" spans="1:6" x14ac:dyDescent="0.2">
      <c r="A61">
        <v>52</v>
      </c>
      <c r="B61" t="s">
        <v>54</v>
      </c>
      <c r="C61" s="1">
        <v>0.63925729440000001</v>
      </c>
      <c r="D61" s="3">
        <v>101.64294332033001</v>
      </c>
      <c r="E61" s="2">
        <f t="shared" si="0"/>
        <v>312.86307055395878</v>
      </c>
      <c r="F61" s="13">
        <f>SUM($E$2:E61)</f>
        <v>36459.228784401676</v>
      </c>
    </row>
    <row r="62" spans="1:6" x14ac:dyDescent="0.2">
      <c r="A62">
        <v>57</v>
      </c>
      <c r="B62" t="s">
        <v>59</v>
      </c>
      <c r="C62" s="1">
        <v>0.67517401389999998</v>
      </c>
      <c r="D62" s="3">
        <v>44.919924025889401</v>
      </c>
      <c r="E62" s="2">
        <f t="shared" si="0"/>
        <v>296.21993128074092</v>
      </c>
      <c r="F62" s="13">
        <f>SUM($E$2:E62)</f>
        <v>36755.448715682418</v>
      </c>
    </row>
    <row r="63" spans="1:6" x14ac:dyDescent="0.2">
      <c r="A63">
        <v>78</v>
      </c>
      <c r="B63" t="s">
        <v>80</v>
      </c>
      <c r="C63" s="1">
        <v>0.68456375840000006</v>
      </c>
      <c r="D63" s="3">
        <v>159.65092059457601</v>
      </c>
      <c r="E63" s="2">
        <f t="shared" si="0"/>
        <v>292.15686274051518</v>
      </c>
      <c r="F63" s="13">
        <f>SUM($E$2:E63)</f>
        <v>37047.605578422932</v>
      </c>
    </row>
    <row r="64" spans="1:6" x14ac:dyDescent="0.2">
      <c r="A64">
        <v>54</v>
      </c>
      <c r="B64" t="s">
        <v>56</v>
      </c>
      <c r="C64" s="1">
        <v>0.69139465879999995</v>
      </c>
      <c r="D64" s="3">
        <v>95.714566083624902</v>
      </c>
      <c r="E64" s="2">
        <f t="shared" si="0"/>
        <v>289.27038624672696</v>
      </c>
      <c r="F64" s="13">
        <f>SUM($E$2:E64)</f>
        <v>37336.875964669656</v>
      </c>
    </row>
    <row r="65" spans="1:7" x14ac:dyDescent="0.2">
      <c r="A65">
        <v>65</v>
      </c>
      <c r="B65" t="s">
        <v>67</v>
      </c>
      <c r="C65" s="1">
        <v>0.7124277457</v>
      </c>
      <c r="D65" s="3">
        <v>79.859201128128902</v>
      </c>
      <c r="E65" s="2">
        <f t="shared" si="0"/>
        <v>280.73022310983811</v>
      </c>
      <c r="F65" s="13">
        <f>SUM($E$2:E65)</f>
        <v>37617.606187779493</v>
      </c>
    </row>
    <row r="66" spans="1:7" x14ac:dyDescent="0.2">
      <c r="A66">
        <v>72</v>
      </c>
      <c r="B66" t="s">
        <v>74</v>
      </c>
      <c r="C66" s="1">
        <v>0.73088685019999999</v>
      </c>
      <c r="D66" s="3">
        <v>80.860940676648099</v>
      </c>
      <c r="E66" s="2">
        <f t="shared" si="0"/>
        <v>273.64016734638471</v>
      </c>
      <c r="F66" s="13">
        <f>SUM($E$2:E66)</f>
        <v>37891.246355125877</v>
      </c>
    </row>
    <row r="67" spans="1:7" x14ac:dyDescent="0.2">
      <c r="A67">
        <v>76</v>
      </c>
      <c r="B67" t="s">
        <v>78</v>
      </c>
      <c r="C67" s="1">
        <v>0.73722627740000002</v>
      </c>
      <c r="D67" s="3">
        <v>101.45268676104</v>
      </c>
      <c r="E67" s="2">
        <f t="shared" ref="E67:E78" si="1">200/C67</f>
        <v>271.28712870266446</v>
      </c>
      <c r="F67" s="13">
        <f>SUM($E$2:E67)</f>
        <v>38162.533483828542</v>
      </c>
    </row>
    <row r="68" spans="1:7" x14ac:dyDescent="0.2">
      <c r="A68">
        <v>68</v>
      </c>
      <c r="B68" t="s">
        <v>70</v>
      </c>
      <c r="C68" s="1">
        <v>0.74846625769999997</v>
      </c>
      <c r="D68" s="3">
        <v>101.781787241343</v>
      </c>
      <c r="E68" s="2">
        <f t="shared" si="1"/>
        <v>267.21311474292798</v>
      </c>
      <c r="F68" s="13">
        <f>SUM($E$2:E68)</f>
        <v>38429.746598571466</v>
      </c>
    </row>
    <row r="69" spans="1:7" x14ac:dyDescent="0.2">
      <c r="A69">
        <v>77</v>
      </c>
      <c r="B69" t="s">
        <v>79</v>
      </c>
      <c r="C69" s="1">
        <v>0.76697530859999996</v>
      </c>
      <c r="D69" s="3">
        <v>163.829750376753</v>
      </c>
      <c r="E69" s="2">
        <f t="shared" si="1"/>
        <v>260.76458753942217</v>
      </c>
      <c r="F69" s="13">
        <f>SUM($E$2:E69)</f>
        <v>38690.511186110889</v>
      </c>
    </row>
    <row r="70" spans="1:7" x14ac:dyDescent="0.2">
      <c r="A70">
        <v>71</v>
      </c>
      <c r="B70" t="s">
        <v>73</v>
      </c>
      <c r="C70" s="1">
        <v>0.7879256966</v>
      </c>
      <c r="D70" s="3">
        <v>161.298199505545</v>
      </c>
      <c r="E70" s="2">
        <f t="shared" si="1"/>
        <v>253.83104125557213</v>
      </c>
      <c r="F70" s="13">
        <f>SUM($E$2:E70)</f>
        <v>38944.342227366462</v>
      </c>
    </row>
    <row r="71" spans="1:7" x14ac:dyDescent="0.2">
      <c r="A71">
        <v>75</v>
      </c>
      <c r="B71" t="s">
        <v>77</v>
      </c>
      <c r="C71" s="1">
        <v>0.79046242769999997</v>
      </c>
      <c r="D71" s="3">
        <v>80.066239619627595</v>
      </c>
      <c r="E71" s="2">
        <f t="shared" si="1"/>
        <v>253.01645339670077</v>
      </c>
      <c r="F71" s="13">
        <f>SUM($E$2:E71)</f>
        <v>39197.358680763165</v>
      </c>
    </row>
    <row r="72" spans="1:7" x14ac:dyDescent="0.2">
      <c r="A72">
        <v>67</v>
      </c>
      <c r="B72" t="s">
        <v>69</v>
      </c>
      <c r="C72" s="1">
        <v>0.79129129129999998</v>
      </c>
      <c r="D72" s="3">
        <v>68.702517107594701</v>
      </c>
      <c r="E72" s="2">
        <f t="shared" si="1"/>
        <v>252.75142314712343</v>
      </c>
      <c r="F72" s="13">
        <f>SUM($E$2:E72)</f>
        <v>39450.110103910287</v>
      </c>
    </row>
    <row r="73" spans="1:7" x14ac:dyDescent="0.2">
      <c r="A73">
        <v>74</v>
      </c>
      <c r="B73" t="s">
        <v>76</v>
      </c>
      <c r="C73" s="1">
        <v>0.79943502820000001</v>
      </c>
      <c r="D73" s="3">
        <v>82.002523373812394</v>
      </c>
      <c r="E73" s="2">
        <f t="shared" si="1"/>
        <v>250.17667846043477</v>
      </c>
      <c r="F73" s="13">
        <f>SUM($E$2:E73)</f>
        <v>39700.28678237072</v>
      </c>
    </row>
    <row r="74" spans="1:7" x14ac:dyDescent="0.2">
      <c r="A74">
        <v>73</v>
      </c>
      <c r="B74" t="s">
        <v>75</v>
      </c>
      <c r="C74" s="1">
        <v>0.80307692310000001</v>
      </c>
      <c r="D74" s="3">
        <v>155.91605252819099</v>
      </c>
      <c r="E74" s="2">
        <f t="shared" si="1"/>
        <v>249.04214558671336</v>
      </c>
      <c r="F74" s="13">
        <f>SUM($E$2:E74)</f>
        <v>39949.328927957431</v>
      </c>
    </row>
    <row r="75" spans="1:7" x14ac:dyDescent="0.2">
      <c r="A75">
        <v>70</v>
      </c>
      <c r="B75" t="s">
        <v>72</v>
      </c>
      <c r="C75" s="1">
        <v>0.84878744650000004</v>
      </c>
      <c r="D75" s="3">
        <v>42.637037155218401</v>
      </c>
      <c r="E75" s="2">
        <f t="shared" si="1"/>
        <v>235.63025210222639</v>
      </c>
      <c r="F75" s="13">
        <f>SUM($E$2:E75)</f>
        <v>40184.959180059661</v>
      </c>
    </row>
    <row r="76" spans="1:7" x14ac:dyDescent="0.2">
      <c r="A76">
        <v>64</v>
      </c>
      <c r="B76" t="s">
        <v>66</v>
      </c>
      <c r="C76" s="1">
        <v>0.84946236559999999</v>
      </c>
      <c r="D76" s="3">
        <v>98.859858938958496</v>
      </c>
      <c r="E76" s="2">
        <f t="shared" si="1"/>
        <v>235.44303797229932</v>
      </c>
      <c r="F76" s="13">
        <f>SUM($E$2:E76)</f>
        <v>40420.402218031959</v>
      </c>
    </row>
    <row r="77" spans="1:7" x14ac:dyDescent="0.2">
      <c r="A77">
        <v>66</v>
      </c>
      <c r="B77" t="s">
        <v>68</v>
      </c>
      <c r="C77" s="1">
        <v>0.85913312689999999</v>
      </c>
      <c r="D77" s="3">
        <v>127.63057006057301</v>
      </c>
      <c r="E77" s="2">
        <f t="shared" si="1"/>
        <v>232.79279280227229</v>
      </c>
      <c r="F77" s="13">
        <f>SUM($E$2:E77)</f>
        <v>40653.195010834228</v>
      </c>
    </row>
    <row r="78" spans="1:7" x14ac:dyDescent="0.2">
      <c r="A78">
        <v>69</v>
      </c>
      <c r="B78" t="s">
        <v>71</v>
      </c>
      <c r="C78" s="1">
        <v>0.88517441860000001</v>
      </c>
      <c r="D78" s="3">
        <v>144.94660059688599</v>
      </c>
      <c r="E78" s="2">
        <f t="shared" si="1"/>
        <v>225.9441707729442</v>
      </c>
      <c r="F78" s="13">
        <f>SUM($E$2:E78)</f>
        <v>40879.13918160717</v>
      </c>
    </row>
    <row r="79" spans="1:7" x14ac:dyDescent="0.2">
      <c r="F79" s="13">
        <f>F78/7200</f>
        <v>5.6776582196676628</v>
      </c>
      <c r="G79" t="s">
        <v>129</v>
      </c>
    </row>
    <row r="80" spans="1:7" x14ac:dyDescent="0.2">
      <c r="E80" s="14" t="s">
        <v>138</v>
      </c>
      <c r="F80" s="15">
        <f>F79*2400</f>
        <v>13626.379727202391</v>
      </c>
      <c r="G80" s="16" t="s">
        <v>130</v>
      </c>
    </row>
    <row r="81" spans="7:7" x14ac:dyDescent="0.2">
      <c r="G81" s="7" t="s">
        <v>131</v>
      </c>
    </row>
    <row r="82" spans="7:7" ht="34" x14ac:dyDescent="0.2">
      <c r="G82" s="8" t="s">
        <v>132</v>
      </c>
    </row>
    <row r="83" spans="7:7" ht="68" x14ac:dyDescent="0.2">
      <c r="G83" s="8" t="s">
        <v>133</v>
      </c>
    </row>
    <row r="84" spans="7:7" ht="85" x14ac:dyDescent="0.2">
      <c r="G84" s="8" t="s">
        <v>139</v>
      </c>
    </row>
    <row r="85" spans="7:7" x14ac:dyDescent="0.2">
      <c r="G85" s="9"/>
    </row>
    <row r="86" spans="7:7" x14ac:dyDescent="0.2">
      <c r="G86" s="9"/>
    </row>
  </sheetData>
  <sortState xmlns:xlrd2="http://schemas.microsoft.com/office/spreadsheetml/2017/richdata2" ref="A2:D78">
    <sortCondition ref="C2:C78"/>
  </sortState>
  <mergeCells count="1">
    <mergeCell ref="H11:J11"/>
  </mergeCells>
  <conditionalFormatting sqref="D1:D78">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fake_category_data</vt:lpstr>
      <vt:lpstr>resp_toy_problem_greedy_cat1</vt:lpstr>
      <vt:lpstr>resp_toy_problem_greedy_cat2</vt:lpstr>
      <vt:lpstr>min_resps_required-relax_time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Luther</dc:creator>
  <cp:lastModifiedBy>George Luther</cp:lastModifiedBy>
  <dcterms:created xsi:type="dcterms:W3CDTF">2026-05-11T14:17:38Z</dcterms:created>
  <dcterms:modified xsi:type="dcterms:W3CDTF">2026-05-14T15:28:47Z</dcterms:modified>
</cp:coreProperties>
</file>